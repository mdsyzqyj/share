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defaultThemeVersion="124226"/>
  <mc:AlternateContent xmlns:mc="http://schemas.openxmlformats.org/markup-compatibility/2006">
    <mc:Choice Requires="x15">
      <x15ac:absPath xmlns:x15ac="http://schemas.microsoft.com/office/spreadsheetml/2010/11/ac" url="D:\标准图及部分典型算稿\标准图、标准报告、标准技术要求等\（堵头计算书）城门洞型孔洞堵头长度及结构稳定性复核计算标准计算书\"/>
    </mc:Choice>
  </mc:AlternateContent>
  <xr:revisionPtr revIDLastSave="0" documentId="13_ncr:1_{698BC552-5108-4AF6-9296-441090DCC064}" xr6:coauthVersionLast="47" xr6:coauthVersionMax="47" xr10:uidLastSave="{00000000-0000-0000-0000-000000000000}"/>
  <bookViews>
    <workbookView xWindow="-120" yWindow="-120" windowWidth="29040" windowHeight="15720" tabRatio="629" activeTab="4" xr2:uid="{00000000-000D-0000-FFFF-FFFF00000000}"/>
  </bookViews>
  <sheets>
    <sheet name="使用说明" sheetId="17" r:id="rId1"/>
    <sheet name="目录（1个接触面）" sheetId="21" r:id="rId2"/>
    <sheet name="目录（2个接触面）" sheetId="13" r:id="rId3"/>
    <sheet name="堵头计算（地震基本烈度≥6，1个接触面） " sheetId="18" r:id="rId4"/>
    <sheet name="堵头计算（地震基本烈度≥6，2个接触面)" sheetId="1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7" i="18" l="1"/>
  <c r="F281" i="19"/>
  <c r="E302" i="19" s="1"/>
  <c r="F204" i="18"/>
  <c r="E224" i="18" s="1"/>
  <c r="D80" i="19" l="1"/>
  <c r="D84" i="19" s="1"/>
  <c r="D83" i="19"/>
  <c r="D57" i="19" l="1"/>
  <c r="E418" i="19"/>
  <c r="D417" i="19" s="1"/>
  <c r="F422" i="19"/>
  <c r="F421" i="19"/>
  <c r="F379" i="19"/>
  <c r="F378" i="19"/>
  <c r="F366" i="19"/>
  <c r="F365" i="19"/>
  <c r="L403" i="19"/>
  <c r="E118" i="19"/>
  <c r="E117" i="19"/>
  <c r="F353" i="19"/>
  <c r="F352" i="19"/>
  <c r="D348" i="19"/>
  <c r="E315" i="19"/>
  <c r="F267" i="19"/>
  <c r="F266" i="19"/>
  <c r="D255" i="19"/>
  <c r="C257" i="19" s="1"/>
  <c r="F254" i="19"/>
  <c r="F253" i="19"/>
  <c r="D230" i="19"/>
  <c r="C224" i="19"/>
  <c r="E215" i="19"/>
  <c r="E218" i="19" s="1"/>
  <c r="D122" i="19"/>
  <c r="D118" i="19"/>
  <c r="D117" i="19"/>
  <c r="D107" i="19"/>
  <c r="D74" i="19"/>
  <c r="D77" i="19" s="1"/>
  <c r="D49" i="19"/>
  <c r="C28" i="19"/>
  <c r="D157" i="18"/>
  <c r="E127" i="19" l="1"/>
  <c r="D147" i="19"/>
  <c r="E150" i="19" s="1"/>
  <c r="D85" i="19"/>
  <c r="E86" i="19" s="1"/>
  <c r="D89" i="19" s="1"/>
  <c r="D367" i="19"/>
  <c r="L399" i="19"/>
  <c r="L407" i="19"/>
  <c r="K403" i="19"/>
  <c r="K407" i="19"/>
  <c r="K399" i="19"/>
  <c r="E216" i="19"/>
  <c r="E217" i="19" s="1"/>
  <c r="F219" i="19" s="1"/>
  <c r="C256" i="19"/>
  <c r="L330" i="19"/>
  <c r="K334" i="19"/>
  <c r="K338" i="19"/>
  <c r="D75" i="19"/>
  <c r="D76" i="19" s="1"/>
  <c r="K330" i="19"/>
  <c r="L338" i="19"/>
  <c r="E125" i="19"/>
  <c r="F314" i="19"/>
  <c r="E123" i="19"/>
  <c r="L334" i="19"/>
  <c r="F274" i="18"/>
  <c r="F275" i="18"/>
  <c r="D270" i="18"/>
  <c r="E237" i="18"/>
  <c r="F236" i="18"/>
  <c r="F189" i="18"/>
  <c r="F188" i="18"/>
  <c r="D177" i="18"/>
  <c r="C179" i="18" s="1"/>
  <c r="F176" i="18"/>
  <c r="F175" i="18"/>
  <c r="C151" i="18"/>
  <c r="E142" i="18"/>
  <c r="E145" i="18" s="1"/>
  <c r="D89" i="18"/>
  <c r="E92" i="18" s="1"/>
  <c r="F86" i="18"/>
  <c r="E81" i="18"/>
  <c r="D80" i="18"/>
  <c r="D58" i="18"/>
  <c r="D61" i="18" s="1"/>
  <c r="D43" i="18"/>
  <c r="C28" i="18"/>
  <c r="E148" i="19" l="1"/>
  <c r="D407" i="19" s="1"/>
  <c r="D408" i="19" s="1"/>
  <c r="H408" i="19" s="1"/>
  <c r="K408" i="19" s="1"/>
  <c r="L408" i="19" s="1"/>
  <c r="I408" i="19" s="1"/>
  <c r="D409" i="19" s="1"/>
  <c r="E152" i="19"/>
  <c r="E87" i="19"/>
  <c r="D88" i="19" s="1"/>
  <c r="C369" i="19"/>
  <c r="C368" i="19"/>
  <c r="E78" i="19"/>
  <c r="D116" i="19" s="1"/>
  <c r="C176" i="19" s="1"/>
  <c r="C182" i="19" s="1"/>
  <c r="D250" i="19"/>
  <c r="D251" i="19" s="1"/>
  <c r="C177" i="19"/>
  <c r="C183" i="19" s="1"/>
  <c r="E128" i="19"/>
  <c r="E132" i="19" s="1"/>
  <c r="F135" i="19"/>
  <c r="E126" i="19"/>
  <c r="D327" i="19"/>
  <c r="E124" i="19"/>
  <c r="E130" i="19" s="1"/>
  <c r="D338" i="19"/>
  <c r="D339" i="19" s="1"/>
  <c r="H339" i="19" s="1"/>
  <c r="K339" i="19" s="1"/>
  <c r="L339" i="19" s="1"/>
  <c r="I339" i="19" s="1"/>
  <c r="D340" i="19" s="1"/>
  <c r="E90" i="18"/>
  <c r="D249" i="18" s="1"/>
  <c r="D59" i="18"/>
  <c r="F102" i="18" s="1"/>
  <c r="L252" i="18"/>
  <c r="K256" i="18"/>
  <c r="K260" i="18"/>
  <c r="K252" i="18"/>
  <c r="C178" i="18"/>
  <c r="E94" i="18"/>
  <c r="L256" i="18"/>
  <c r="E143" i="18"/>
  <c r="E144" i="18" s="1"/>
  <c r="F146" i="18" s="1"/>
  <c r="L260" i="18"/>
  <c r="D260" i="18" l="1"/>
  <c r="D261" i="18" s="1"/>
  <c r="H261" i="18" s="1"/>
  <c r="K261" i="18" s="1"/>
  <c r="L261" i="18" s="1"/>
  <c r="I261" i="18" s="1"/>
  <c r="D262" i="18" s="1"/>
  <c r="D60" i="18"/>
  <c r="E62" i="18" s="1"/>
  <c r="D396" i="19"/>
  <c r="D362" i="19"/>
  <c r="D363" i="19" s="1"/>
  <c r="F90" i="19"/>
  <c r="F160" i="19"/>
  <c r="D252" i="19"/>
  <c r="C275" i="19" s="1"/>
  <c r="D308" i="19" s="1"/>
  <c r="E309" i="19" s="1"/>
  <c r="E134" i="19"/>
  <c r="D205" i="19"/>
  <c r="D206" i="19" s="1"/>
  <c r="C190" i="19"/>
  <c r="C196" i="19" s="1"/>
  <c r="F137" i="19"/>
  <c r="E153" i="19"/>
  <c r="E151" i="19"/>
  <c r="E149" i="19"/>
  <c r="F138" i="19"/>
  <c r="E131" i="19"/>
  <c r="D335" i="19"/>
  <c r="D336" i="19" s="1"/>
  <c r="H335" i="19" s="1"/>
  <c r="K335" i="19" s="1"/>
  <c r="L335" i="19" s="1"/>
  <c r="I335" i="19" s="1"/>
  <c r="D337" i="19" s="1"/>
  <c r="E341" i="19" s="1"/>
  <c r="F342" i="19" s="1"/>
  <c r="F343" i="19" s="1"/>
  <c r="F136" i="19"/>
  <c r="E93" i="18"/>
  <c r="F104" i="18" s="1"/>
  <c r="C132" i="18"/>
  <c r="D134" i="18" s="1"/>
  <c r="E91" i="18"/>
  <c r="E97" i="18" s="1"/>
  <c r="E101" i="18"/>
  <c r="D172" i="18"/>
  <c r="D173" i="18" s="1"/>
  <c r="E95" i="18"/>
  <c r="E99" i="18" s="1"/>
  <c r="C118" i="18"/>
  <c r="C124" i="18" s="1"/>
  <c r="D174" i="18"/>
  <c r="D187" i="18" s="1"/>
  <c r="D79" i="18" l="1"/>
  <c r="C117" i="18" s="1"/>
  <c r="C123" i="18" s="1"/>
  <c r="E132" i="18"/>
  <c r="D364" i="19"/>
  <c r="D377" i="19" s="1"/>
  <c r="E205" i="19"/>
  <c r="E141" i="19"/>
  <c r="E145" i="19" s="1"/>
  <c r="C181" i="19" s="1"/>
  <c r="E140" i="19"/>
  <c r="E144" i="19" s="1"/>
  <c r="D265" i="19"/>
  <c r="D207" i="19"/>
  <c r="D404" i="19"/>
  <c r="D405" i="19" s="1"/>
  <c r="H404" i="19" s="1"/>
  <c r="K404" i="19" s="1"/>
  <c r="L404" i="19" s="1"/>
  <c r="I404" i="19" s="1"/>
  <c r="D406" i="19" s="1"/>
  <c r="E410" i="19" s="1"/>
  <c r="F411" i="19" s="1"/>
  <c r="F412" i="19" s="1"/>
  <c r="E116" i="19"/>
  <c r="C189" i="19" s="1"/>
  <c r="E159" i="19"/>
  <c r="F163" i="19"/>
  <c r="E157" i="19"/>
  <c r="F162" i="19"/>
  <c r="E156" i="19"/>
  <c r="E155" i="19"/>
  <c r="F161" i="19"/>
  <c r="D329" i="19"/>
  <c r="D330" i="19" s="1"/>
  <c r="H331" i="19" s="1"/>
  <c r="K331" i="19" s="1"/>
  <c r="L331" i="19" s="1"/>
  <c r="I331" i="19" s="1"/>
  <c r="D331" i="19" s="1"/>
  <c r="F332" i="19" s="1"/>
  <c r="E333" i="19" s="1"/>
  <c r="E345" i="19" s="1"/>
  <c r="E139" i="19"/>
  <c r="E143" i="19" s="1"/>
  <c r="E98" i="18"/>
  <c r="E107" i="18"/>
  <c r="D133" i="18"/>
  <c r="F105" i="18"/>
  <c r="E108" i="18" s="1"/>
  <c r="E112" i="18" s="1"/>
  <c r="C197" i="18"/>
  <c r="D230" i="18" s="1"/>
  <c r="E231" i="18" s="1"/>
  <c r="F103" i="18"/>
  <c r="D251" i="18" s="1"/>
  <c r="D252" i="18" s="1"/>
  <c r="H253" i="18" s="1"/>
  <c r="K253" i="18" s="1"/>
  <c r="L253" i="18" s="1"/>
  <c r="I253" i="18" s="1"/>
  <c r="D253" i="18" s="1"/>
  <c r="F254" i="18" s="1"/>
  <c r="E255" i="18" s="1"/>
  <c r="D257" i="18"/>
  <c r="D258" i="18" s="1"/>
  <c r="H257" i="18" s="1"/>
  <c r="K257" i="18" s="1"/>
  <c r="L257" i="18" s="1"/>
  <c r="I257" i="18" s="1"/>
  <c r="D259" i="18" s="1"/>
  <c r="E263" i="18" s="1"/>
  <c r="F264" i="18" s="1"/>
  <c r="F265" i="18" s="1"/>
  <c r="C387" i="19" l="1"/>
  <c r="D391" i="19" s="1"/>
  <c r="E392" i="19" s="1"/>
  <c r="E269" i="19"/>
  <c r="E270" i="19" s="1"/>
  <c r="F271" i="19" s="1"/>
  <c r="F50" i="19" s="1"/>
  <c r="E268" i="19"/>
  <c r="C271" i="19" s="1"/>
  <c r="E258" i="19"/>
  <c r="C261" i="19" s="1"/>
  <c r="E49" i="19" s="1"/>
  <c r="C175" i="19"/>
  <c r="E178" i="19" s="1"/>
  <c r="B49" i="19" s="1"/>
  <c r="E259" i="19"/>
  <c r="E260" i="19" s="1"/>
  <c r="F261" i="19" s="1"/>
  <c r="F49" i="19" s="1"/>
  <c r="C122" i="18"/>
  <c r="E126" i="18" s="1"/>
  <c r="C44" i="18" s="1"/>
  <c r="E190" i="18"/>
  <c r="C193" i="18" s="1"/>
  <c r="E44" i="18" s="1"/>
  <c r="E111" i="18"/>
  <c r="E191" i="18"/>
  <c r="E192" i="18" s="1"/>
  <c r="F193" i="18" s="1"/>
  <c r="F44" i="18" s="1"/>
  <c r="E206" i="19"/>
  <c r="E207" i="19"/>
  <c r="D398" i="19"/>
  <c r="D399" i="19" s="1"/>
  <c r="H400" i="19" s="1"/>
  <c r="K400" i="19" s="1"/>
  <c r="L400" i="19" s="1"/>
  <c r="I400" i="19" s="1"/>
  <c r="D400" i="19" s="1"/>
  <c r="C195" i="19"/>
  <c r="E164" i="19"/>
  <c r="E168" i="19" s="1"/>
  <c r="E165" i="19"/>
  <c r="E169" i="19" s="1"/>
  <c r="E166" i="19"/>
  <c r="E170" i="19" s="1"/>
  <c r="F354" i="19"/>
  <c r="C357" i="19" s="1"/>
  <c r="F355" i="19"/>
  <c r="F356" i="19" s="1"/>
  <c r="F357" i="19" s="1"/>
  <c r="F51" i="19" s="1"/>
  <c r="E184" i="19"/>
  <c r="B50" i="19" s="1"/>
  <c r="E185" i="19"/>
  <c r="C50" i="19" s="1"/>
  <c r="E106" i="18"/>
  <c r="E110" i="18" s="1"/>
  <c r="E125" i="18"/>
  <c r="B44" i="18" s="1"/>
  <c r="E267" i="18"/>
  <c r="E181" i="18"/>
  <c r="E182" i="18" s="1"/>
  <c r="F183" i="18" s="1"/>
  <c r="F43" i="18" s="1"/>
  <c r="C116" i="18" l="1"/>
  <c r="E120" i="18" s="1"/>
  <c r="C43" i="18" s="1"/>
  <c r="B272" i="19"/>
  <c r="F277" i="18"/>
  <c r="F278" i="18" s="1"/>
  <c r="F279" i="18" s="1"/>
  <c r="F45" i="18" s="1"/>
  <c r="E179" i="19"/>
  <c r="C49" i="19" s="1"/>
  <c r="E50" i="19"/>
  <c r="G50" i="19" s="1"/>
  <c r="D271" i="19"/>
  <c r="G49" i="19"/>
  <c r="D261" i="19"/>
  <c r="B262" i="19"/>
  <c r="E180" i="18"/>
  <c r="C183" i="18" s="1"/>
  <c r="B184" i="18" s="1"/>
  <c r="F401" i="19"/>
  <c r="E402" i="19" s="1"/>
  <c r="E414" i="19" s="1"/>
  <c r="E370" i="19"/>
  <c r="C373" i="19" s="1"/>
  <c r="E57" i="19" s="1"/>
  <c r="E371" i="19"/>
  <c r="E372" i="19" s="1"/>
  <c r="F373" i="19" s="1"/>
  <c r="F57" i="19" s="1"/>
  <c r="E380" i="19"/>
  <c r="C383" i="19" s="1"/>
  <c r="E58" i="19" s="1"/>
  <c r="E381" i="19"/>
  <c r="E382" i="19" s="1"/>
  <c r="F383" i="19" s="1"/>
  <c r="F58" i="19" s="1"/>
  <c r="C188" i="19"/>
  <c r="E191" i="19" s="1"/>
  <c r="B57" i="19" s="1"/>
  <c r="C194" i="19"/>
  <c r="E198" i="19" s="1"/>
  <c r="C58" i="19" s="1"/>
  <c r="E51" i="19"/>
  <c r="G51" i="19" s="1"/>
  <c r="D357" i="19"/>
  <c r="B358" i="19"/>
  <c r="F276" i="18"/>
  <c r="C279" i="18" s="1"/>
  <c r="E45" i="18" s="1"/>
  <c r="G44" i="18"/>
  <c r="B194" i="18"/>
  <c r="D193" i="18"/>
  <c r="E119" i="18" l="1"/>
  <c r="B43" i="18" s="1"/>
  <c r="D183" i="18"/>
  <c r="E43" i="18"/>
  <c r="G43" i="18" s="1"/>
  <c r="G45" i="18"/>
  <c r="G58" i="19"/>
  <c r="G57" i="19"/>
  <c r="F424" i="19"/>
  <c r="F425" i="19" s="1"/>
  <c r="F426" i="19" s="1"/>
  <c r="F59" i="19" s="1"/>
  <c r="F423" i="19"/>
  <c r="C426" i="19" s="1"/>
  <c r="E192" i="19"/>
  <c r="E197" i="19"/>
  <c r="B58" i="19" s="1"/>
  <c r="B374" i="19"/>
  <c r="D373" i="19"/>
  <c r="B384" i="19"/>
  <c r="D383" i="19"/>
  <c r="D279" i="18"/>
  <c r="B280" i="18"/>
  <c r="C57" i="19" l="1"/>
  <c r="B427" i="19"/>
  <c r="E59" i="19"/>
  <c r="G59" i="19" s="1"/>
  <c r="D42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陈俊</author>
  </authors>
  <commentList>
    <comment ref="D135" authorId="0" shapeId="0" xr:uid="{B0A57E74-4A8D-4404-A901-3DEBF1BA4989}">
      <text>
        <r>
          <rPr>
            <b/>
            <sz val="9"/>
            <color indexed="81"/>
            <rFont val="宋体"/>
            <family val="3"/>
            <charset val="134"/>
          </rPr>
          <t>陈俊:</t>
        </r>
        <r>
          <rPr>
            <sz val="9"/>
            <color indexed="81"/>
            <rFont val="宋体"/>
            <family val="3"/>
            <charset val="134"/>
          </rPr>
          <t xml:space="preserve">
是怎么考虑的？按2-8-240计算，并不小于2.0～3.0倍洞径？
</t>
        </r>
      </text>
    </comment>
  </commentList>
</comments>
</file>

<file path=xl/sharedStrings.xml><?xml version="1.0" encoding="utf-8"?>
<sst xmlns="http://schemas.openxmlformats.org/spreadsheetml/2006/main" count="1108" uniqueCount="433">
  <si>
    <t>MPa</t>
  </si>
  <si>
    <t>m</t>
  </si>
  <si>
    <t>城门洞型</t>
  </si>
  <si>
    <t>°</t>
  </si>
  <si>
    <t>式中：</t>
  </si>
  <si>
    <t>kN</t>
  </si>
  <si>
    <t>kN/m</t>
  </si>
  <si>
    <t>SλC=</t>
  </si>
  <si>
    <t>R=</t>
  </si>
  <si>
    <t>2倍堵头长L=</t>
  </si>
  <si>
    <t>3倍堵头长L=</t>
  </si>
  <si>
    <t>m</t>
    <phoneticPr fontId="24" type="noConversion"/>
  </si>
  <si>
    <t>目    录</t>
  </si>
  <si>
    <t>kN</t>
    <phoneticPr fontId="24" type="noConversion"/>
  </si>
  <si>
    <t>MPa</t>
    <phoneticPr fontId="24" type="noConversion"/>
  </si>
  <si>
    <t xml:space="preserve">     A=</t>
    <phoneticPr fontId="24" type="noConversion"/>
  </si>
  <si>
    <t>5  堵头稳定复核</t>
    <phoneticPr fontId="24" type="noConversion"/>
  </si>
  <si>
    <r>
      <t>m</t>
    </r>
    <r>
      <rPr>
        <vertAlign val="superscript"/>
        <sz val="12"/>
        <rFont val="Times New Roman"/>
        <family val="1"/>
      </rPr>
      <t>2</t>
    </r>
    <phoneticPr fontId="24" type="noConversion"/>
  </si>
  <si>
    <r>
      <t>m</t>
    </r>
    <r>
      <rPr>
        <vertAlign val="superscript"/>
        <sz val="12"/>
        <rFont val="Times New Roman"/>
        <family val="1"/>
      </rPr>
      <t>2</t>
    </r>
  </si>
  <si>
    <r>
      <t>kN/m</t>
    </r>
    <r>
      <rPr>
        <vertAlign val="superscript"/>
        <sz val="12"/>
        <rFont val="Times New Roman"/>
        <family val="1"/>
      </rPr>
      <t>3</t>
    </r>
    <phoneticPr fontId="24" type="noConversion"/>
  </si>
  <si>
    <r>
      <t>kN/m</t>
    </r>
    <r>
      <rPr>
        <vertAlign val="superscript"/>
        <sz val="12"/>
        <rFont val="Times New Roman"/>
        <family val="1"/>
      </rPr>
      <t>3</t>
    </r>
  </si>
  <si>
    <r>
      <t xml:space="preserve">      堵头顶拱部分截面面积S</t>
    </r>
    <r>
      <rPr>
        <vertAlign val="subscript"/>
        <sz val="12"/>
        <rFont val="宋体"/>
        <family val="3"/>
        <charset val="134"/>
      </rPr>
      <t>顶拱</t>
    </r>
    <r>
      <rPr>
        <sz val="12"/>
        <rFont val="宋体"/>
        <family val="3"/>
        <charset val="134"/>
      </rPr>
      <t>=ω-h</t>
    </r>
    <r>
      <rPr>
        <vertAlign val="subscript"/>
        <sz val="12"/>
        <rFont val="宋体"/>
        <family val="3"/>
        <charset val="134"/>
      </rPr>
      <t>2</t>
    </r>
    <r>
      <rPr>
        <sz val="12"/>
        <rFont val="宋体"/>
        <family val="3"/>
        <charset val="134"/>
      </rPr>
      <t>b-=</t>
    </r>
    <phoneticPr fontId="24" type="noConversion"/>
  </si>
  <si>
    <r>
      <t xml:space="preserve">      顶拱内接三角形形心距拱座连线的高度e=h</t>
    </r>
    <r>
      <rPr>
        <vertAlign val="subscript"/>
        <sz val="12"/>
        <rFont val="宋体"/>
        <family val="3"/>
        <charset val="134"/>
      </rPr>
      <t>1</t>
    </r>
    <r>
      <rPr>
        <sz val="12"/>
        <rFont val="宋体"/>
        <family val="3"/>
        <charset val="134"/>
      </rPr>
      <t>/3=</t>
    </r>
    <phoneticPr fontId="24" type="noConversion"/>
  </si>
  <si>
    <t>°</t>
    <phoneticPr fontId="24" type="noConversion"/>
  </si>
  <si>
    <t>1.2.2 主要规范及参考资料</t>
    <phoneticPr fontId="24" type="noConversion"/>
  </si>
  <si>
    <r>
      <t>h</t>
    </r>
    <r>
      <rPr>
        <vertAlign val="subscript"/>
        <sz val="12"/>
        <rFont val="宋体"/>
        <family val="3"/>
        <charset val="134"/>
      </rPr>
      <t>1</t>
    </r>
    <r>
      <rPr>
        <sz val="12"/>
        <rFont val="宋体"/>
        <family val="3"/>
        <charset val="134"/>
      </rPr>
      <t>/H</t>
    </r>
    <r>
      <rPr>
        <vertAlign val="subscript"/>
        <sz val="12"/>
        <rFont val="宋体"/>
        <family val="3"/>
        <charset val="134"/>
      </rPr>
      <t>0</t>
    </r>
    <r>
      <rPr>
        <sz val="12"/>
        <rFont val="宋体"/>
        <family val="3"/>
        <charset val="134"/>
      </rPr>
      <t>=</t>
    </r>
    <phoneticPr fontId="24" type="noConversion"/>
  </si>
  <si>
    <r>
      <t>h</t>
    </r>
    <r>
      <rPr>
        <vertAlign val="subscript"/>
        <sz val="12"/>
        <rFont val="宋体"/>
        <family val="3"/>
        <charset val="134"/>
      </rPr>
      <t>2</t>
    </r>
    <r>
      <rPr>
        <sz val="12"/>
        <rFont val="宋体"/>
        <family val="3"/>
        <charset val="134"/>
      </rPr>
      <t>/H</t>
    </r>
    <r>
      <rPr>
        <vertAlign val="subscript"/>
        <sz val="12"/>
        <rFont val="宋体"/>
        <family val="3"/>
        <charset val="134"/>
      </rPr>
      <t>0</t>
    </r>
    <r>
      <rPr>
        <sz val="12"/>
        <rFont val="宋体"/>
        <family val="3"/>
        <charset val="134"/>
      </rPr>
      <t>=</t>
    </r>
    <phoneticPr fontId="24" type="noConversion"/>
  </si>
  <si>
    <r>
      <t>h</t>
    </r>
    <r>
      <rPr>
        <vertAlign val="subscript"/>
        <sz val="12"/>
        <rFont val="宋体"/>
        <family val="3"/>
        <charset val="134"/>
      </rPr>
      <t>3</t>
    </r>
    <r>
      <rPr>
        <sz val="12"/>
        <rFont val="宋体"/>
        <family val="3"/>
        <charset val="134"/>
      </rPr>
      <t>/H</t>
    </r>
    <r>
      <rPr>
        <vertAlign val="subscript"/>
        <sz val="12"/>
        <rFont val="宋体"/>
        <family val="3"/>
        <charset val="134"/>
      </rPr>
      <t>0</t>
    </r>
    <r>
      <rPr>
        <sz val="12"/>
        <rFont val="宋体"/>
        <family val="3"/>
        <charset val="134"/>
      </rPr>
      <t>=</t>
    </r>
    <phoneticPr fontId="24" type="noConversion"/>
  </si>
  <si>
    <t>；</t>
    <phoneticPr fontId="24" type="noConversion"/>
  </si>
  <si>
    <r>
      <t xml:space="preserve">    正常蓄水位Z</t>
    </r>
    <r>
      <rPr>
        <vertAlign val="subscript"/>
        <sz val="12"/>
        <rFont val="宋体"/>
        <family val="3"/>
        <charset val="134"/>
      </rPr>
      <t>正</t>
    </r>
    <r>
      <rPr>
        <sz val="12"/>
        <rFont val="宋体"/>
        <family val="3"/>
        <charset val="134"/>
      </rPr>
      <t>=</t>
    </r>
    <phoneticPr fontId="24" type="noConversion"/>
  </si>
  <si>
    <r>
      <t xml:space="preserve">      P</t>
    </r>
    <r>
      <rPr>
        <vertAlign val="subscript"/>
        <sz val="12"/>
        <rFont val="宋体"/>
        <family val="3"/>
        <charset val="134"/>
      </rPr>
      <t>1直墙</t>
    </r>
    <r>
      <rPr>
        <sz val="12"/>
        <rFont val="宋体"/>
        <family val="3"/>
        <charset val="134"/>
      </rPr>
      <t>（正常蓄水位）=(H</t>
    </r>
    <r>
      <rPr>
        <vertAlign val="subscript"/>
        <sz val="12"/>
        <rFont val="宋体"/>
        <family val="3"/>
        <charset val="134"/>
      </rPr>
      <t>1底</t>
    </r>
    <r>
      <rPr>
        <sz val="12"/>
        <rFont val="宋体"/>
        <family val="3"/>
        <charset val="134"/>
      </rPr>
      <t>+H</t>
    </r>
    <r>
      <rPr>
        <vertAlign val="subscript"/>
        <sz val="12"/>
        <rFont val="宋体"/>
        <family val="3"/>
        <charset val="134"/>
      </rPr>
      <t>1顶</t>
    </r>
    <r>
      <rPr>
        <sz val="12"/>
        <rFont val="宋体"/>
        <family val="3"/>
        <charset val="134"/>
      </rPr>
      <t>）h</t>
    </r>
    <r>
      <rPr>
        <vertAlign val="subscript"/>
        <sz val="12"/>
        <rFont val="宋体"/>
        <family val="3"/>
        <charset val="134"/>
      </rPr>
      <t>2</t>
    </r>
    <r>
      <rPr>
        <sz val="12"/>
        <rFont val="宋体"/>
        <family val="3"/>
        <charset val="134"/>
      </rPr>
      <t>bγ</t>
    </r>
    <r>
      <rPr>
        <vertAlign val="subscript"/>
        <sz val="12"/>
        <rFont val="宋体"/>
        <family val="3"/>
        <charset val="134"/>
      </rPr>
      <t>w</t>
    </r>
    <r>
      <rPr>
        <sz val="12"/>
        <rFont val="宋体"/>
        <family val="3"/>
        <charset val="134"/>
      </rPr>
      <t>/2=</t>
    </r>
    <phoneticPr fontId="24" type="noConversion"/>
  </si>
  <si>
    <r>
      <t xml:space="preserve">      P</t>
    </r>
    <r>
      <rPr>
        <vertAlign val="subscript"/>
        <sz val="12"/>
        <rFont val="宋体"/>
        <family val="3"/>
        <charset val="134"/>
      </rPr>
      <t>2直墙</t>
    </r>
    <r>
      <rPr>
        <sz val="12"/>
        <rFont val="宋体"/>
        <family val="3"/>
        <charset val="134"/>
      </rPr>
      <t>（设计洪水位）=(H</t>
    </r>
    <r>
      <rPr>
        <vertAlign val="subscript"/>
        <sz val="12"/>
        <rFont val="宋体"/>
        <family val="3"/>
        <charset val="134"/>
      </rPr>
      <t>2底</t>
    </r>
    <r>
      <rPr>
        <sz val="12"/>
        <rFont val="宋体"/>
        <family val="3"/>
        <charset val="134"/>
      </rPr>
      <t>+H</t>
    </r>
    <r>
      <rPr>
        <vertAlign val="subscript"/>
        <sz val="12"/>
        <rFont val="宋体"/>
        <family val="3"/>
        <charset val="134"/>
      </rPr>
      <t>2顶</t>
    </r>
    <r>
      <rPr>
        <sz val="12"/>
        <rFont val="宋体"/>
        <family val="3"/>
        <charset val="134"/>
      </rPr>
      <t>）h</t>
    </r>
    <r>
      <rPr>
        <vertAlign val="subscript"/>
        <sz val="12"/>
        <rFont val="宋体"/>
        <family val="3"/>
        <charset val="134"/>
      </rPr>
      <t>2</t>
    </r>
    <r>
      <rPr>
        <sz val="12"/>
        <rFont val="宋体"/>
        <family val="3"/>
        <charset val="134"/>
      </rPr>
      <t>bγ</t>
    </r>
    <r>
      <rPr>
        <vertAlign val="subscript"/>
        <sz val="12"/>
        <rFont val="宋体"/>
        <family val="3"/>
        <charset val="134"/>
      </rPr>
      <t>w</t>
    </r>
    <r>
      <rPr>
        <sz val="12"/>
        <rFont val="宋体"/>
        <family val="3"/>
        <charset val="134"/>
      </rPr>
      <t>/2=</t>
    </r>
    <phoneticPr fontId="24" type="noConversion"/>
  </si>
  <si>
    <r>
      <t xml:space="preserve">      P</t>
    </r>
    <r>
      <rPr>
        <vertAlign val="subscript"/>
        <sz val="12"/>
        <rFont val="宋体"/>
        <family val="3"/>
        <charset val="134"/>
      </rPr>
      <t>1顶拱</t>
    </r>
    <r>
      <rPr>
        <sz val="12"/>
        <rFont val="宋体"/>
        <family val="3"/>
        <charset val="134"/>
      </rPr>
      <t>（正常蓄水位）=S</t>
    </r>
    <r>
      <rPr>
        <vertAlign val="subscript"/>
        <sz val="12"/>
        <rFont val="宋体"/>
        <family val="3"/>
        <charset val="134"/>
      </rPr>
      <t>顶拱</t>
    </r>
    <r>
      <rPr>
        <sz val="12"/>
        <rFont val="宋体"/>
        <family val="3"/>
        <charset val="134"/>
      </rPr>
      <t>H</t>
    </r>
    <r>
      <rPr>
        <vertAlign val="subscript"/>
        <sz val="12"/>
        <rFont val="宋体"/>
        <family val="3"/>
        <charset val="134"/>
      </rPr>
      <t>3正</t>
    </r>
    <r>
      <rPr>
        <sz val="12"/>
        <rFont val="宋体"/>
        <family val="3"/>
        <charset val="134"/>
      </rPr>
      <t>γ</t>
    </r>
    <r>
      <rPr>
        <vertAlign val="subscript"/>
        <sz val="12"/>
        <rFont val="宋体"/>
        <family val="3"/>
        <charset val="134"/>
      </rPr>
      <t>w</t>
    </r>
    <r>
      <rPr>
        <sz val="12"/>
        <rFont val="宋体"/>
        <family val="3"/>
        <charset val="134"/>
      </rPr>
      <t>=</t>
    </r>
    <phoneticPr fontId="24" type="noConversion"/>
  </si>
  <si>
    <r>
      <t xml:space="preserve">      P</t>
    </r>
    <r>
      <rPr>
        <vertAlign val="subscript"/>
        <sz val="12"/>
        <rFont val="宋体"/>
        <family val="3"/>
        <charset val="134"/>
      </rPr>
      <t>2顶拱</t>
    </r>
    <r>
      <rPr>
        <sz val="12"/>
        <rFont val="宋体"/>
        <family val="3"/>
        <charset val="134"/>
      </rPr>
      <t>（设计洪水位）=S</t>
    </r>
    <r>
      <rPr>
        <vertAlign val="subscript"/>
        <sz val="12"/>
        <rFont val="宋体"/>
        <family val="3"/>
        <charset val="134"/>
      </rPr>
      <t>顶拱</t>
    </r>
    <r>
      <rPr>
        <sz val="12"/>
        <rFont val="宋体"/>
        <family val="3"/>
        <charset val="134"/>
      </rPr>
      <t>H</t>
    </r>
    <r>
      <rPr>
        <vertAlign val="subscript"/>
        <sz val="12"/>
        <rFont val="宋体"/>
        <family val="3"/>
        <charset val="134"/>
      </rPr>
      <t>3设</t>
    </r>
    <r>
      <rPr>
        <sz val="12"/>
        <rFont val="宋体"/>
        <family val="3"/>
        <charset val="134"/>
      </rPr>
      <t>γ</t>
    </r>
    <r>
      <rPr>
        <vertAlign val="subscript"/>
        <sz val="12"/>
        <rFont val="宋体"/>
        <family val="3"/>
        <charset val="134"/>
      </rPr>
      <t>w</t>
    </r>
    <r>
      <rPr>
        <sz val="12"/>
        <rFont val="宋体"/>
        <family val="3"/>
        <charset val="134"/>
      </rPr>
      <t>=</t>
    </r>
    <phoneticPr fontId="24" type="noConversion"/>
  </si>
  <si>
    <r>
      <t xml:space="preserve">      P</t>
    </r>
    <r>
      <rPr>
        <vertAlign val="subscript"/>
        <sz val="12"/>
        <rFont val="宋体"/>
        <family val="3"/>
        <charset val="134"/>
      </rPr>
      <t>3顶拱</t>
    </r>
    <r>
      <rPr>
        <sz val="12"/>
        <rFont val="宋体"/>
        <family val="3"/>
        <charset val="134"/>
      </rPr>
      <t>（校核洪水位）=S</t>
    </r>
    <r>
      <rPr>
        <vertAlign val="subscript"/>
        <sz val="12"/>
        <rFont val="宋体"/>
        <family val="3"/>
        <charset val="134"/>
      </rPr>
      <t>顶拱</t>
    </r>
    <r>
      <rPr>
        <sz val="12"/>
        <rFont val="宋体"/>
        <family val="3"/>
        <charset val="134"/>
      </rPr>
      <t>H</t>
    </r>
    <r>
      <rPr>
        <vertAlign val="subscript"/>
        <sz val="12"/>
        <rFont val="宋体"/>
        <family val="3"/>
        <charset val="134"/>
      </rPr>
      <t>3校</t>
    </r>
    <r>
      <rPr>
        <sz val="12"/>
        <rFont val="宋体"/>
        <family val="3"/>
        <charset val="134"/>
      </rPr>
      <t>γ</t>
    </r>
    <r>
      <rPr>
        <vertAlign val="subscript"/>
        <sz val="12"/>
        <rFont val="宋体"/>
        <family val="3"/>
        <charset val="134"/>
      </rPr>
      <t>w</t>
    </r>
    <r>
      <rPr>
        <sz val="12"/>
        <rFont val="宋体"/>
        <family val="3"/>
        <charset val="134"/>
      </rPr>
      <t>=</t>
    </r>
    <phoneticPr fontId="24" type="noConversion"/>
  </si>
  <si>
    <r>
      <t xml:space="preserve">      P</t>
    </r>
    <r>
      <rPr>
        <vertAlign val="subscript"/>
        <sz val="12"/>
        <rFont val="宋体"/>
        <family val="3"/>
        <charset val="134"/>
      </rPr>
      <t>1</t>
    </r>
    <r>
      <rPr>
        <sz val="12"/>
        <rFont val="宋体"/>
        <family val="3"/>
        <charset val="134"/>
      </rPr>
      <t>（正常蓄水位）=P</t>
    </r>
    <r>
      <rPr>
        <vertAlign val="subscript"/>
        <sz val="12"/>
        <rFont val="宋体"/>
        <family val="3"/>
        <charset val="134"/>
      </rPr>
      <t>1顶拱</t>
    </r>
    <r>
      <rPr>
        <sz val="12"/>
        <rFont val="宋体"/>
        <family val="3"/>
        <charset val="134"/>
      </rPr>
      <t>+P</t>
    </r>
    <r>
      <rPr>
        <vertAlign val="subscript"/>
        <sz val="12"/>
        <rFont val="宋体"/>
        <family val="3"/>
        <charset val="134"/>
      </rPr>
      <t>1直墙</t>
    </r>
    <r>
      <rPr>
        <sz val="12"/>
        <rFont val="宋体"/>
        <family val="3"/>
        <charset val="134"/>
      </rPr>
      <t>=</t>
    </r>
    <phoneticPr fontId="24" type="noConversion"/>
  </si>
  <si>
    <r>
      <t xml:space="preserve">      P</t>
    </r>
    <r>
      <rPr>
        <vertAlign val="subscript"/>
        <sz val="12"/>
        <rFont val="宋体"/>
        <family val="3"/>
        <charset val="134"/>
      </rPr>
      <t>3</t>
    </r>
    <r>
      <rPr>
        <sz val="12"/>
        <rFont val="宋体"/>
        <family val="3"/>
        <charset val="134"/>
      </rPr>
      <t>（校核洪水位）=P</t>
    </r>
    <r>
      <rPr>
        <vertAlign val="subscript"/>
        <sz val="12"/>
        <rFont val="宋体"/>
        <family val="3"/>
        <charset val="134"/>
      </rPr>
      <t>3顶拱</t>
    </r>
    <r>
      <rPr>
        <sz val="12"/>
        <rFont val="宋体"/>
        <family val="3"/>
        <charset val="134"/>
      </rPr>
      <t>+P</t>
    </r>
    <r>
      <rPr>
        <vertAlign val="subscript"/>
        <sz val="12"/>
        <rFont val="宋体"/>
        <family val="3"/>
        <charset val="134"/>
      </rPr>
      <t>3直墙</t>
    </r>
    <r>
      <rPr>
        <sz val="12"/>
        <rFont val="宋体"/>
        <family val="3"/>
        <charset val="134"/>
      </rPr>
      <t>=</t>
    </r>
    <phoneticPr fontId="24" type="noConversion"/>
  </si>
  <si>
    <t>1  堵头设计说明</t>
    <phoneticPr fontId="24" type="noConversion"/>
  </si>
  <si>
    <t>长度计算和堵头结构稳定复核两部分。</t>
    <phoneticPr fontId="24" type="noConversion"/>
  </si>
  <si>
    <r>
      <t xml:space="preserve">    堵头属永久建筑物，设计标准应与</t>
    </r>
    <r>
      <rPr>
        <sz val="12"/>
        <color rgb="FFFF0000"/>
        <rFont val="宋体"/>
        <family val="3"/>
        <charset val="134"/>
      </rPr>
      <t>×××</t>
    </r>
    <r>
      <rPr>
        <sz val="12"/>
        <rFont val="宋体"/>
        <family val="3"/>
        <charset val="134"/>
      </rPr>
      <t>相同，为</t>
    </r>
    <r>
      <rPr>
        <sz val="12"/>
        <color rgb="FFFF0000"/>
        <rFont val="宋体"/>
        <family val="3"/>
        <charset val="134"/>
      </rPr>
      <t>×</t>
    </r>
    <r>
      <rPr>
        <sz val="12"/>
        <rFont val="宋体"/>
        <family val="3"/>
        <charset val="134"/>
      </rPr>
      <t>级建筑物，堵头结构安全可靠，稳</t>
    </r>
    <phoneticPr fontId="24" type="noConversion"/>
  </si>
  <si>
    <t>4.1 堵头计算工况</t>
    <phoneticPr fontId="24" type="noConversion"/>
  </si>
  <si>
    <r>
      <t xml:space="preserve">    正常蓄水位水位时堵头底挡水水头H</t>
    </r>
    <r>
      <rPr>
        <vertAlign val="subscript"/>
        <sz val="12"/>
        <rFont val="宋体"/>
        <family val="3"/>
        <charset val="134"/>
      </rPr>
      <t>1底</t>
    </r>
    <r>
      <rPr>
        <sz val="12"/>
        <rFont val="宋体"/>
        <family val="3"/>
        <charset val="134"/>
      </rPr>
      <t>= Z</t>
    </r>
    <r>
      <rPr>
        <vertAlign val="subscript"/>
        <sz val="12"/>
        <rFont val="宋体"/>
        <family val="3"/>
        <charset val="134"/>
      </rPr>
      <t>正</t>
    </r>
    <r>
      <rPr>
        <sz val="12"/>
        <rFont val="宋体"/>
        <family val="3"/>
        <charset val="134"/>
      </rPr>
      <t>-Z</t>
    </r>
    <r>
      <rPr>
        <vertAlign val="subscript"/>
        <sz val="12"/>
        <rFont val="宋体"/>
        <family val="3"/>
        <charset val="134"/>
      </rPr>
      <t>底</t>
    </r>
    <r>
      <rPr>
        <sz val="12"/>
        <rFont val="宋体"/>
        <family val="3"/>
        <charset val="134"/>
      </rPr>
      <t>=</t>
    </r>
    <phoneticPr fontId="24" type="noConversion"/>
  </si>
  <si>
    <r>
      <t xml:space="preserve">    正常蓄水位时堵头直墙顶挡水水头H</t>
    </r>
    <r>
      <rPr>
        <vertAlign val="subscript"/>
        <sz val="12"/>
        <rFont val="宋体"/>
        <family val="3"/>
        <charset val="134"/>
      </rPr>
      <t>1顶</t>
    </r>
    <r>
      <rPr>
        <sz val="12"/>
        <rFont val="宋体"/>
        <family val="3"/>
        <charset val="134"/>
      </rPr>
      <t>= H</t>
    </r>
    <r>
      <rPr>
        <vertAlign val="subscript"/>
        <sz val="12"/>
        <rFont val="宋体"/>
        <family val="3"/>
        <charset val="134"/>
      </rPr>
      <t>1底</t>
    </r>
    <r>
      <rPr>
        <sz val="12"/>
        <rFont val="宋体"/>
        <family val="3"/>
        <charset val="134"/>
      </rPr>
      <t>-h</t>
    </r>
    <r>
      <rPr>
        <vertAlign val="subscript"/>
        <sz val="12"/>
        <rFont val="宋体"/>
        <family val="3"/>
        <charset val="134"/>
      </rPr>
      <t>2</t>
    </r>
    <r>
      <rPr>
        <sz val="12"/>
        <rFont val="宋体"/>
        <family val="3"/>
        <charset val="134"/>
      </rPr>
      <t>=</t>
    </r>
    <phoneticPr fontId="24" type="noConversion"/>
  </si>
  <si>
    <r>
      <t xml:space="preserve">    设计洪水位时堵头底挡水水头H</t>
    </r>
    <r>
      <rPr>
        <vertAlign val="subscript"/>
        <sz val="12"/>
        <rFont val="宋体"/>
        <family val="3"/>
        <charset val="134"/>
      </rPr>
      <t>2底</t>
    </r>
    <r>
      <rPr>
        <sz val="12"/>
        <rFont val="宋体"/>
        <family val="3"/>
        <charset val="134"/>
      </rPr>
      <t>= Z</t>
    </r>
    <r>
      <rPr>
        <vertAlign val="subscript"/>
        <sz val="12"/>
        <rFont val="宋体"/>
        <family val="3"/>
        <charset val="134"/>
      </rPr>
      <t>设</t>
    </r>
    <r>
      <rPr>
        <sz val="12"/>
        <rFont val="宋体"/>
        <family val="3"/>
        <charset val="134"/>
      </rPr>
      <t>-Z</t>
    </r>
    <r>
      <rPr>
        <vertAlign val="subscript"/>
        <sz val="12"/>
        <rFont val="宋体"/>
        <family val="3"/>
        <charset val="134"/>
      </rPr>
      <t>底</t>
    </r>
    <r>
      <rPr>
        <sz val="12"/>
        <rFont val="宋体"/>
        <family val="3"/>
        <charset val="134"/>
      </rPr>
      <t>=</t>
    </r>
    <phoneticPr fontId="24" type="noConversion"/>
  </si>
  <si>
    <r>
      <t xml:space="preserve">    设计洪水位时堵头直墙顶挡水水头H</t>
    </r>
    <r>
      <rPr>
        <vertAlign val="subscript"/>
        <sz val="12"/>
        <rFont val="宋体"/>
        <family val="3"/>
        <charset val="134"/>
      </rPr>
      <t>2顶</t>
    </r>
    <r>
      <rPr>
        <sz val="12"/>
        <rFont val="宋体"/>
        <family val="3"/>
        <charset val="134"/>
      </rPr>
      <t>= H</t>
    </r>
    <r>
      <rPr>
        <vertAlign val="subscript"/>
        <sz val="12"/>
        <rFont val="宋体"/>
        <family val="3"/>
        <charset val="134"/>
      </rPr>
      <t>2底</t>
    </r>
    <r>
      <rPr>
        <sz val="12"/>
        <rFont val="宋体"/>
        <family val="3"/>
        <charset val="134"/>
      </rPr>
      <t>-h</t>
    </r>
    <r>
      <rPr>
        <vertAlign val="subscript"/>
        <sz val="12"/>
        <rFont val="宋体"/>
        <family val="3"/>
        <charset val="134"/>
      </rPr>
      <t>2</t>
    </r>
    <r>
      <rPr>
        <sz val="12"/>
        <rFont val="宋体"/>
        <family val="3"/>
        <charset val="134"/>
      </rPr>
      <t>=</t>
    </r>
    <phoneticPr fontId="24" type="noConversion"/>
  </si>
  <si>
    <r>
      <t xml:space="preserve">    校核洪水位时堵头底挡水水头H</t>
    </r>
    <r>
      <rPr>
        <vertAlign val="subscript"/>
        <sz val="12"/>
        <rFont val="宋体"/>
        <family val="3"/>
        <charset val="134"/>
      </rPr>
      <t>3底</t>
    </r>
    <r>
      <rPr>
        <sz val="12"/>
        <rFont val="宋体"/>
        <family val="3"/>
        <charset val="134"/>
      </rPr>
      <t>= Z</t>
    </r>
    <r>
      <rPr>
        <vertAlign val="subscript"/>
        <sz val="12"/>
        <rFont val="宋体"/>
        <family val="3"/>
        <charset val="134"/>
      </rPr>
      <t>校</t>
    </r>
    <r>
      <rPr>
        <sz val="12"/>
        <rFont val="宋体"/>
        <family val="3"/>
        <charset val="134"/>
      </rPr>
      <t>-Z</t>
    </r>
    <r>
      <rPr>
        <vertAlign val="subscript"/>
        <sz val="12"/>
        <rFont val="宋体"/>
        <family val="3"/>
        <charset val="134"/>
      </rPr>
      <t>底</t>
    </r>
    <r>
      <rPr>
        <sz val="12"/>
        <rFont val="宋体"/>
        <family val="3"/>
        <charset val="134"/>
      </rPr>
      <t>=</t>
    </r>
    <phoneticPr fontId="24" type="noConversion"/>
  </si>
  <si>
    <r>
      <t xml:space="preserve">    校核洪水位时堵头直墙顶挡水水头H</t>
    </r>
    <r>
      <rPr>
        <vertAlign val="subscript"/>
        <sz val="12"/>
        <rFont val="宋体"/>
        <family val="3"/>
        <charset val="134"/>
      </rPr>
      <t>3顶</t>
    </r>
    <r>
      <rPr>
        <sz val="12"/>
        <rFont val="宋体"/>
        <family val="3"/>
        <charset val="134"/>
      </rPr>
      <t>= H</t>
    </r>
    <r>
      <rPr>
        <vertAlign val="subscript"/>
        <sz val="12"/>
        <rFont val="宋体"/>
        <family val="3"/>
        <charset val="134"/>
      </rPr>
      <t>3底</t>
    </r>
    <r>
      <rPr>
        <sz val="12"/>
        <rFont val="宋体"/>
        <family val="3"/>
        <charset val="134"/>
      </rPr>
      <t>-h</t>
    </r>
    <r>
      <rPr>
        <vertAlign val="subscript"/>
        <sz val="12"/>
        <rFont val="宋体"/>
        <family val="3"/>
        <charset val="134"/>
      </rPr>
      <t>2</t>
    </r>
    <r>
      <rPr>
        <sz val="12"/>
        <rFont val="宋体"/>
        <family val="3"/>
        <charset val="134"/>
      </rPr>
      <t>=</t>
    </r>
    <phoneticPr fontId="24" type="noConversion"/>
  </si>
  <si>
    <t xml:space="preserve">    堵头挡水水平压力分解为直墙部分及顶拱部分计算</t>
    <phoneticPr fontId="24" type="noConversion"/>
  </si>
  <si>
    <r>
      <t>m/s</t>
    </r>
    <r>
      <rPr>
        <vertAlign val="superscript"/>
        <sz val="12"/>
        <rFont val="宋体"/>
        <family val="3"/>
        <charset val="134"/>
      </rPr>
      <t>2</t>
    </r>
    <r>
      <rPr>
        <sz val="12"/>
        <rFont val="宋体"/>
        <family val="3"/>
        <charset val="134"/>
      </rPr>
      <t>；</t>
    </r>
    <phoneticPr fontId="24" type="noConversion"/>
  </si>
  <si>
    <t>底板λ=</t>
    <phoneticPr fontId="24" type="noConversion"/>
  </si>
  <si>
    <t>侧墙λ=</t>
    <phoneticPr fontId="24" type="noConversion"/>
  </si>
  <si>
    <t>顶板λ=</t>
    <phoneticPr fontId="24" type="noConversion"/>
  </si>
  <si>
    <t xml:space="preserve">  L = KP/(Aγf+SλC)</t>
    <phoneticPr fontId="24" type="noConversion"/>
  </si>
  <si>
    <r>
      <t>λ</t>
    </r>
    <r>
      <rPr>
        <sz val="12"/>
        <rFont val="宋体"/>
        <family val="3"/>
        <charset val="134"/>
      </rPr>
      <t>：抗剪断面面积有效系数；</t>
    </r>
    <phoneticPr fontId="24" type="noConversion"/>
  </si>
  <si>
    <t>Aγf=</t>
    <phoneticPr fontId="24" type="noConversion"/>
  </si>
  <si>
    <t>4.5 堵头设计长度及布置</t>
    <phoneticPr fontId="24" type="noConversion"/>
  </si>
  <si>
    <r>
      <t>L=(2.0</t>
    </r>
    <r>
      <rPr>
        <sz val="12"/>
        <color theme="1"/>
        <rFont val="宋体"/>
        <family val="3"/>
        <charset val="134"/>
      </rPr>
      <t>～</t>
    </r>
    <r>
      <rPr>
        <sz val="12"/>
        <color theme="1"/>
        <rFont val="Times New Roman"/>
        <family val="1"/>
      </rPr>
      <t>3.0)R</t>
    </r>
    <r>
      <rPr>
        <sz val="12"/>
        <color theme="1"/>
        <rFont val="宋体"/>
        <family val="3"/>
        <charset val="134"/>
      </rPr>
      <t>，</t>
    </r>
    <r>
      <rPr>
        <sz val="12"/>
        <color theme="1"/>
        <rFont val="Times New Roman"/>
        <family val="1"/>
      </rPr>
      <t>R</t>
    </r>
    <r>
      <rPr>
        <sz val="12"/>
        <color theme="1"/>
        <rFont val="宋体"/>
        <family val="3"/>
        <charset val="134"/>
      </rPr>
      <t>为堵头的等效直径</t>
    </r>
    <phoneticPr fontId="24" type="noConversion"/>
  </si>
  <si>
    <t xml:space="preserve">     综合以上计算，取堵头长度L=</t>
    <phoneticPr fontId="24" type="noConversion"/>
  </si>
  <si>
    <r>
      <t xml:space="preserve">     堵头布置桩号为：</t>
    </r>
    <r>
      <rPr>
        <sz val="12"/>
        <color rgb="FFFF0000"/>
        <rFont val="宋体"/>
        <family val="3"/>
        <charset val="134"/>
      </rPr>
      <t>泄支K0+049.08</t>
    </r>
    <r>
      <rPr>
        <sz val="12"/>
        <rFont val="宋体"/>
        <family val="3"/>
        <charset val="134"/>
      </rPr>
      <t>m～</t>
    </r>
    <r>
      <rPr>
        <sz val="12"/>
        <color rgb="FFFF0000"/>
        <rFont val="宋体"/>
        <family val="3"/>
        <charset val="134"/>
      </rPr>
      <t>泄支K0+081.08</t>
    </r>
    <r>
      <rPr>
        <sz val="12"/>
        <rFont val="宋体"/>
        <family val="3"/>
        <charset val="134"/>
      </rPr>
      <t>m。</t>
    </r>
    <phoneticPr fontId="24" type="noConversion"/>
  </si>
  <si>
    <r>
      <t>°</t>
    </r>
    <r>
      <rPr>
        <sz val="12"/>
        <rFont val="宋体"/>
        <family val="3"/>
        <charset val="134"/>
      </rPr>
      <t>（有利坡为负，不利坡为正）</t>
    </r>
    <phoneticPr fontId="24" type="noConversion"/>
  </si>
  <si>
    <r>
      <rPr>
        <sz val="12"/>
        <color theme="1"/>
        <rFont val="Times New Roman"/>
        <family val="1"/>
      </rPr>
      <t xml:space="preserve">        </t>
    </r>
    <r>
      <rPr>
        <sz val="12"/>
        <color theme="1"/>
        <rFont val="宋体"/>
        <family val="3"/>
        <charset val="134"/>
      </rPr>
      <t>抗滑稳定抗力函数</t>
    </r>
    <r>
      <rPr>
        <sz val="12"/>
        <color theme="1"/>
        <rFont val="Times New Roman"/>
        <family val="1"/>
      </rPr>
      <t>R(.)=f</t>
    </r>
    <r>
      <rPr>
        <vertAlign val="subscript"/>
        <sz val="12"/>
        <color theme="1"/>
        <rFont val="Times New Roman"/>
        <family val="1"/>
      </rPr>
      <t>R</t>
    </r>
    <r>
      <rPr>
        <sz val="12"/>
        <color theme="1"/>
        <rFont val="Times New Roman"/>
        <family val="1"/>
      </rPr>
      <t>'</t>
    </r>
    <r>
      <rPr>
        <sz val="12"/>
        <color theme="1"/>
        <rFont val="宋体"/>
        <family val="3"/>
        <charset val="134"/>
      </rPr>
      <t>∑</t>
    </r>
    <r>
      <rPr>
        <sz val="12"/>
        <color theme="1"/>
        <rFont val="Times New Roman"/>
        <family val="1"/>
      </rPr>
      <t>W</t>
    </r>
    <r>
      <rPr>
        <vertAlign val="subscript"/>
        <sz val="12"/>
        <color theme="1"/>
        <rFont val="Times New Roman"/>
        <family val="1"/>
      </rPr>
      <t>R</t>
    </r>
    <r>
      <rPr>
        <sz val="12"/>
        <color theme="1"/>
        <rFont val="Times New Roman"/>
        <family val="1"/>
      </rPr>
      <t>+c</t>
    </r>
    <r>
      <rPr>
        <vertAlign val="subscript"/>
        <sz val="12"/>
        <color theme="1"/>
        <rFont val="Times New Roman"/>
        <family val="1"/>
      </rPr>
      <t>R</t>
    </r>
    <r>
      <rPr>
        <sz val="12"/>
        <color theme="1"/>
        <rFont val="Times New Roman"/>
        <family val="1"/>
      </rPr>
      <t>'A</t>
    </r>
    <r>
      <rPr>
        <vertAlign val="subscript"/>
        <sz val="12"/>
        <color theme="1"/>
        <rFont val="Times New Roman"/>
        <family val="1"/>
      </rPr>
      <t>R</t>
    </r>
    <r>
      <rPr>
        <sz val="12"/>
        <color theme="1"/>
        <rFont val="Times New Roman"/>
        <family val="1"/>
      </rPr>
      <t>=</t>
    </r>
    <phoneticPr fontId="24" type="noConversion"/>
  </si>
  <si>
    <t>(只计底板和部分侧墙)</t>
    <phoneticPr fontId="24" type="noConversion"/>
  </si>
  <si>
    <r>
      <t xml:space="preserve">        </t>
    </r>
    <r>
      <rPr>
        <sz val="12"/>
        <color theme="1"/>
        <rFont val="宋体"/>
        <family val="3"/>
        <charset val="134"/>
      </rPr>
      <t>作用效应函数</t>
    </r>
    <r>
      <rPr>
        <sz val="12"/>
        <color theme="1"/>
        <rFont val="Times New Roman"/>
        <family val="1"/>
      </rPr>
      <t>S(.)=</t>
    </r>
    <r>
      <rPr>
        <sz val="12"/>
        <color theme="1"/>
        <rFont val="宋体"/>
        <family val="3"/>
        <charset val="134"/>
      </rPr>
      <t>∑</t>
    </r>
    <r>
      <rPr>
        <sz val="12"/>
        <color theme="1"/>
        <rFont val="Times New Roman"/>
        <family val="1"/>
      </rPr>
      <t>P</t>
    </r>
    <r>
      <rPr>
        <vertAlign val="subscript"/>
        <sz val="12"/>
        <color theme="1"/>
        <rFont val="Times New Roman"/>
        <family val="1"/>
      </rPr>
      <t>R</t>
    </r>
    <r>
      <rPr>
        <sz val="12"/>
        <color theme="1"/>
        <rFont val="Times New Roman"/>
        <family val="1"/>
      </rPr>
      <t>=cosθP</t>
    </r>
    <r>
      <rPr>
        <vertAlign val="subscript"/>
        <sz val="12"/>
        <color theme="1"/>
        <rFont val="Times New Roman"/>
        <family val="1"/>
      </rPr>
      <t>2</t>
    </r>
    <r>
      <rPr>
        <sz val="12"/>
        <color theme="1"/>
        <rFont val="Times New Roman"/>
        <family val="1"/>
      </rPr>
      <t>γ</t>
    </r>
    <r>
      <rPr>
        <vertAlign val="subscript"/>
        <sz val="12"/>
        <color theme="1"/>
        <rFont val="Times New Roman"/>
        <family val="1"/>
      </rPr>
      <t>P</t>
    </r>
    <r>
      <rPr>
        <sz val="12"/>
        <color theme="1"/>
        <rFont val="Times New Roman"/>
        <family val="1"/>
      </rPr>
      <t>+sinθGγ</t>
    </r>
    <r>
      <rPr>
        <vertAlign val="subscript"/>
        <sz val="12"/>
        <color theme="1"/>
        <rFont val="Times New Roman"/>
        <family val="1"/>
      </rPr>
      <t>G</t>
    </r>
    <r>
      <rPr>
        <sz val="12"/>
        <color theme="1"/>
        <rFont val="Times New Roman"/>
        <family val="1"/>
      </rPr>
      <t>=</t>
    </r>
    <phoneticPr fontId="24" type="noConversion"/>
  </si>
  <si>
    <r>
      <rPr>
        <sz val="12"/>
        <color theme="1"/>
        <rFont val="Times New Roman"/>
        <family val="1"/>
      </rPr>
      <t xml:space="preserve">        </t>
    </r>
    <r>
      <rPr>
        <sz val="12"/>
        <color theme="1"/>
        <rFont val="宋体"/>
        <family val="3"/>
        <charset val="134"/>
      </rPr>
      <t>∑</t>
    </r>
    <r>
      <rPr>
        <sz val="12"/>
        <color theme="1"/>
        <rFont val="Times New Roman"/>
        <family val="1"/>
      </rPr>
      <t>W</t>
    </r>
    <r>
      <rPr>
        <vertAlign val="subscript"/>
        <sz val="12"/>
        <color theme="1"/>
        <rFont val="Times New Roman"/>
        <family val="1"/>
      </rPr>
      <t>R</t>
    </r>
    <r>
      <rPr>
        <sz val="12"/>
        <color theme="1"/>
        <rFont val="Times New Roman"/>
        <family val="1"/>
      </rPr>
      <t>=cosθGγ</t>
    </r>
    <r>
      <rPr>
        <vertAlign val="subscript"/>
        <sz val="12"/>
        <color theme="1"/>
        <rFont val="Times New Roman"/>
        <family val="1"/>
      </rPr>
      <t>G</t>
    </r>
    <r>
      <rPr>
        <sz val="12"/>
        <color theme="1"/>
        <rFont val="Times New Roman"/>
        <family val="1"/>
      </rPr>
      <t>-sinθP</t>
    </r>
    <r>
      <rPr>
        <vertAlign val="subscript"/>
        <sz val="12"/>
        <color theme="1"/>
        <rFont val="Times New Roman"/>
        <family val="1"/>
      </rPr>
      <t>2</t>
    </r>
    <r>
      <rPr>
        <sz val="12"/>
        <color theme="1"/>
        <rFont val="Times New Roman"/>
        <family val="1"/>
      </rPr>
      <t>γ</t>
    </r>
    <r>
      <rPr>
        <vertAlign val="subscript"/>
        <sz val="12"/>
        <color theme="1"/>
        <rFont val="Times New Roman"/>
        <family val="1"/>
      </rPr>
      <t>P</t>
    </r>
    <r>
      <rPr>
        <sz val="12"/>
        <color theme="1"/>
        <rFont val="Times New Roman"/>
        <family val="1"/>
      </rPr>
      <t>=</t>
    </r>
    <phoneticPr fontId="24" type="noConversion"/>
  </si>
  <si>
    <r>
      <t xml:space="preserve">        </t>
    </r>
    <r>
      <rPr>
        <sz val="12"/>
        <color theme="1"/>
        <rFont val="宋体"/>
        <family val="3"/>
        <charset val="134"/>
      </rPr>
      <t>作用效应函数</t>
    </r>
    <r>
      <rPr>
        <sz val="12"/>
        <color theme="1"/>
        <rFont val="Times New Roman"/>
        <family val="1"/>
      </rPr>
      <t>S(.)=</t>
    </r>
    <r>
      <rPr>
        <sz val="12"/>
        <color theme="1"/>
        <rFont val="宋体"/>
        <family val="3"/>
        <charset val="134"/>
      </rPr>
      <t>∑</t>
    </r>
    <r>
      <rPr>
        <sz val="12"/>
        <color theme="1"/>
        <rFont val="Times New Roman"/>
        <family val="1"/>
      </rPr>
      <t>P</t>
    </r>
    <r>
      <rPr>
        <vertAlign val="subscript"/>
        <sz val="12"/>
        <color theme="1"/>
        <rFont val="Times New Roman"/>
        <family val="1"/>
      </rPr>
      <t>R</t>
    </r>
    <r>
      <rPr>
        <sz val="12"/>
        <color theme="1"/>
        <rFont val="Times New Roman"/>
        <family val="1"/>
      </rPr>
      <t>=cosθP</t>
    </r>
    <r>
      <rPr>
        <vertAlign val="subscript"/>
        <sz val="12"/>
        <color theme="1"/>
        <rFont val="Times New Roman"/>
        <family val="1"/>
      </rPr>
      <t>3</t>
    </r>
    <r>
      <rPr>
        <sz val="12"/>
        <color theme="1"/>
        <rFont val="Times New Roman"/>
        <family val="1"/>
      </rPr>
      <t>γ</t>
    </r>
    <r>
      <rPr>
        <vertAlign val="subscript"/>
        <sz val="12"/>
        <color theme="1"/>
        <rFont val="Times New Roman"/>
        <family val="1"/>
      </rPr>
      <t>P</t>
    </r>
    <r>
      <rPr>
        <sz val="12"/>
        <color theme="1"/>
        <rFont val="Times New Roman"/>
        <family val="1"/>
      </rPr>
      <t>+sinθGγ</t>
    </r>
    <r>
      <rPr>
        <vertAlign val="subscript"/>
        <sz val="12"/>
        <color theme="1"/>
        <rFont val="Times New Roman"/>
        <family val="1"/>
      </rPr>
      <t>G</t>
    </r>
    <r>
      <rPr>
        <sz val="12"/>
        <color theme="1"/>
        <rFont val="Times New Roman"/>
        <family val="1"/>
      </rPr>
      <t>=</t>
    </r>
    <phoneticPr fontId="24" type="noConversion"/>
  </si>
  <si>
    <r>
      <rPr>
        <sz val="12"/>
        <color theme="1"/>
        <rFont val="Times New Roman"/>
        <family val="1"/>
      </rPr>
      <t xml:space="preserve">        </t>
    </r>
    <r>
      <rPr>
        <sz val="12"/>
        <color theme="1"/>
        <rFont val="宋体"/>
        <family val="3"/>
        <charset val="134"/>
      </rPr>
      <t>∑</t>
    </r>
    <r>
      <rPr>
        <sz val="12"/>
        <color theme="1"/>
        <rFont val="Times New Roman"/>
        <family val="1"/>
      </rPr>
      <t>W</t>
    </r>
    <r>
      <rPr>
        <vertAlign val="subscript"/>
        <sz val="12"/>
        <color theme="1"/>
        <rFont val="Times New Roman"/>
        <family val="1"/>
      </rPr>
      <t>R</t>
    </r>
    <r>
      <rPr>
        <sz val="12"/>
        <color theme="1"/>
        <rFont val="Times New Roman"/>
        <family val="1"/>
      </rPr>
      <t>=cosθGγ</t>
    </r>
    <r>
      <rPr>
        <vertAlign val="subscript"/>
        <sz val="12"/>
        <color theme="1"/>
        <rFont val="Times New Roman"/>
        <family val="1"/>
      </rPr>
      <t>G</t>
    </r>
    <r>
      <rPr>
        <sz val="12"/>
        <color theme="1"/>
        <rFont val="Times New Roman"/>
        <family val="1"/>
      </rPr>
      <t>-sinθP</t>
    </r>
    <r>
      <rPr>
        <vertAlign val="subscript"/>
        <sz val="12"/>
        <color theme="1"/>
        <rFont val="Times New Roman"/>
        <family val="1"/>
      </rPr>
      <t>3</t>
    </r>
    <r>
      <rPr>
        <sz val="12"/>
        <color theme="1"/>
        <rFont val="Times New Roman"/>
        <family val="1"/>
      </rPr>
      <t>γ</t>
    </r>
    <r>
      <rPr>
        <vertAlign val="subscript"/>
        <sz val="12"/>
        <color theme="1"/>
        <rFont val="Times New Roman"/>
        <family val="1"/>
      </rPr>
      <t>P</t>
    </r>
    <r>
      <rPr>
        <sz val="12"/>
        <color theme="1"/>
        <rFont val="Times New Roman"/>
        <family val="1"/>
      </rPr>
      <t>=</t>
    </r>
    <phoneticPr fontId="24" type="noConversion"/>
  </si>
  <si>
    <r>
      <t xml:space="preserve">    泄洪放空洞施工支洞洞口高程约362.375</t>
    </r>
    <r>
      <rPr>
        <sz val="12"/>
        <color rgb="FFFF0000"/>
        <rFont val="Times New Roman"/>
        <family val="1"/>
      </rPr>
      <t>m</t>
    </r>
    <r>
      <rPr>
        <sz val="12"/>
        <color rgb="FFFF0000"/>
        <rFont val="宋体"/>
        <family val="3"/>
        <charset val="134"/>
      </rPr>
      <t>，交泄洪放空洞于桩号泄</t>
    </r>
    <r>
      <rPr>
        <sz val="12"/>
        <color rgb="FFFF0000"/>
        <rFont val="Times New Roman"/>
        <family val="1"/>
      </rPr>
      <t>0+058.000m</t>
    </r>
    <r>
      <rPr>
        <sz val="12"/>
        <color rgb="FFFF0000"/>
        <rFont val="宋体"/>
        <family val="3"/>
        <charset val="134"/>
      </rPr>
      <t>处，开挖底板</t>
    </r>
    <phoneticPr fontId="24" type="noConversion"/>
  </si>
  <si>
    <t xml:space="preserve">        式中：Pw(h)为作用在直立迎水坝面水深h处的地震动水压力代表值，kN；</t>
    <phoneticPr fontId="24" type="noConversion"/>
  </si>
  <si>
    <r>
      <t>ζ</t>
    </r>
    <r>
      <rPr>
        <sz val="12"/>
        <rFont val="宋体"/>
        <family val="3"/>
        <charset val="134"/>
      </rPr>
      <t>为地震作用的效应折减系数，取ζ＝</t>
    </r>
    <phoneticPr fontId="24" type="noConversion"/>
  </si>
  <si>
    <r>
      <t>a</t>
    </r>
    <r>
      <rPr>
        <vertAlign val="subscript"/>
        <sz val="12"/>
        <rFont val="宋体"/>
        <family val="3"/>
        <charset val="134"/>
      </rPr>
      <t>h</t>
    </r>
    <r>
      <rPr>
        <sz val="12"/>
        <rFont val="宋体"/>
        <family val="3"/>
        <charset val="134"/>
      </rPr>
      <t>为水平向设计地震加速度代表值，取</t>
    </r>
    <phoneticPr fontId="24" type="noConversion"/>
  </si>
  <si>
    <t>ζ为地震作用的效应折减系数，取ζ＝</t>
    <phoneticPr fontId="24" type="noConversion"/>
  </si>
  <si>
    <t>g为重力加速度，取g=</t>
    <phoneticPr fontId="24" type="noConversion"/>
  </si>
  <si>
    <r>
      <t>H</t>
    </r>
    <r>
      <rPr>
        <vertAlign val="subscript"/>
        <sz val="12"/>
        <rFont val="宋体"/>
        <family val="3"/>
        <charset val="134"/>
      </rPr>
      <t>0</t>
    </r>
    <r>
      <rPr>
        <sz val="12"/>
        <rFont val="宋体"/>
        <family val="3"/>
        <charset val="134"/>
      </rPr>
      <t>为水深，m；</t>
    </r>
    <phoneticPr fontId="24" type="noConversion"/>
  </si>
  <si>
    <r>
      <t xml:space="preserve">      P</t>
    </r>
    <r>
      <rPr>
        <vertAlign val="subscript"/>
        <sz val="12"/>
        <rFont val="宋体"/>
        <family val="3"/>
        <charset val="134"/>
      </rPr>
      <t>2</t>
    </r>
    <r>
      <rPr>
        <sz val="12"/>
        <rFont val="宋体"/>
        <family val="3"/>
        <charset val="134"/>
      </rPr>
      <t>（设计洪水位）=P</t>
    </r>
    <r>
      <rPr>
        <vertAlign val="subscript"/>
        <sz val="12"/>
        <rFont val="宋体"/>
        <family val="3"/>
        <charset val="134"/>
      </rPr>
      <t>2顶拱</t>
    </r>
    <r>
      <rPr>
        <sz val="12"/>
        <rFont val="宋体"/>
        <family val="3"/>
        <charset val="134"/>
      </rPr>
      <t>+P</t>
    </r>
    <r>
      <rPr>
        <vertAlign val="subscript"/>
        <sz val="12"/>
        <rFont val="宋体"/>
        <family val="3"/>
        <charset val="134"/>
      </rPr>
      <t>2直墙</t>
    </r>
    <r>
      <rPr>
        <sz val="12"/>
        <rFont val="宋体"/>
        <family val="3"/>
        <charset val="134"/>
      </rPr>
      <t>=</t>
    </r>
    <phoneticPr fontId="24" type="noConversion"/>
  </si>
  <si>
    <t>计算工况</t>
    <phoneticPr fontId="24" type="noConversion"/>
  </si>
  <si>
    <t>设计洪水位</t>
    <phoneticPr fontId="24" type="noConversion"/>
  </si>
  <si>
    <t>校核洪水位</t>
    <phoneticPr fontId="24" type="noConversion"/>
  </si>
  <si>
    <t>地震工况</t>
    <phoneticPr fontId="24" type="noConversion"/>
  </si>
  <si>
    <t>结论</t>
    <phoneticPr fontId="24" type="noConversion"/>
  </si>
  <si>
    <t>R(•)/ γd</t>
    <phoneticPr fontId="24" type="noConversion"/>
  </si>
  <si>
    <t>设计长度</t>
    <phoneticPr fontId="24" type="noConversion"/>
  </si>
  <si>
    <t xml:space="preserve">   计算结果见表1.4-1。</t>
    <phoneticPr fontId="24" type="noConversion"/>
  </si>
  <si>
    <r>
      <t xml:space="preserve">2   </t>
    </r>
    <r>
      <rPr>
        <sz val="12"/>
        <rFont val="黑体"/>
        <family val="3"/>
        <charset val="134"/>
      </rPr>
      <t>堵头设计水位值</t>
    </r>
    <phoneticPr fontId="24" type="noConversion"/>
  </si>
  <si>
    <t>1.1 目的与要求</t>
    <phoneticPr fontId="24" type="noConversion"/>
  </si>
  <si>
    <t>1.2 依据资料及规范</t>
    <phoneticPr fontId="24" type="noConversion"/>
  </si>
  <si>
    <t>1.3 设计参数</t>
    <phoneticPr fontId="24" type="noConversion"/>
  </si>
  <si>
    <t>1.4 计算成果</t>
    <phoneticPr fontId="24" type="noConversion"/>
  </si>
  <si>
    <t>5.1 计算系数</t>
    <phoneticPr fontId="24" type="noConversion"/>
  </si>
  <si>
    <t>5.2 堵头抗滑稳定复核（采用抗剪断强度验算）</t>
    <phoneticPr fontId="24" type="noConversion"/>
  </si>
  <si>
    <t>5.2.1 设计洪水位工况</t>
    <phoneticPr fontId="24" type="noConversion"/>
  </si>
  <si>
    <t>5.2.2 校核洪水位工况</t>
    <phoneticPr fontId="24" type="noConversion"/>
  </si>
  <si>
    <t>5.2.3 正常蓄水位+地震工况</t>
    <phoneticPr fontId="24" type="noConversion"/>
  </si>
  <si>
    <t xml:space="preserve">    5.2.3 正常蓄水位+地震工况………………………………………………………</t>
    <phoneticPr fontId="24" type="noConversion"/>
  </si>
  <si>
    <t>1  堵头设计说明…………………………………………………………………………</t>
    <phoneticPr fontId="24" type="noConversion"/>
  </si>
  <si>
    <t xml:space="preserve">  1.1 目的与要求 ………………………………………………………………………</t>
    <phoneticPr fontId="24" type="noConversion"/>
  </si>
  <si>
    <t xml:space="preserve">  1.2 依据资料及规范 …………………………………………………………………</t>
    <phoneticPr fontId="24" type="noConversion"/>
  </si>
  <si>
    <t xml:space="preserve">    1.2.2 主要规范及参考资料 ………………………………………………………</t>
    <phoneticPr fontId="24" type="noConversion"/>
  </si>
  <si>
    <t xml:space="preserve">  1.3 设计参数 …………………………………………………………………………</t>
    <phoneticPr fontId="24" type="noConversion"/>
  </si>
  <si>
    <t xml:space="preserve">  1.4 计算成果 …………………………………………………………………………</t>
    <phoneticPr fontId="24" type="noConversion"/>
  </si>
  <si>
    <t xml:space="preserve">  4.1 堵头计算工况 ……………………………………………………………………</t>
    <phoneticPr fontId="24" type="noConversion"/>
  </si>
  <si>
    <t xml:space="preserve">  4.5 堵头设计长度及布置 ……………………………………………………………</t>
    <phoneticPr fontId="24" type="noConversion"/>
  </si>
  <si>
    <t>5  堵头稳定复核…………………………………………………………………………</t>
    <phoneticPr fontId="24" type="noConversion"/>
  </si>
  <si>
    <t xml:space="preserve">  5.1 计算系数 …………………………………………………………………………</t>
    <phoneticPr fontId="24" type="noConversion"/>
  </si>
  <si>
    <t xml:space="preserve">  5.2 堵头抗滑稳定复核 ………………………………………………………………</t>
    <phoneticPr fontId="24" type="noConversion"/>
  </si>
  <si>
    <t xml:space="preserve">    5.2.1 设计洪水位工况 ……………………………………………………………</t>
    <phoneticPr fontId="24" type="noConversion"/>
  </si>
  <si>
    <t xml:space="preserve">    5.2.2 校核洪水位工况 ……………………………………………………………</t>
    <phoneticPr fontId="24" type="noConversion"/>
  </si>
  <si>
    <t xml:space="preserve">      地质互提资料联系单 ……………………………………………………………</t>
    <phoneticPr fontId="24" type="noConversion"/>
  </si>
  <si>
    <t>故：</t>
    <phoneticPr fontId="24" type="noConversion"/>
  </si>
  <si>
    <r>
      <t xml:space="preserve">      正常蓄水位时堵头顶拱内接三角形形心处挡水水头H</t>
    </r>
    <r>
      <rPr>
        <vertAlign val="subscript"/>
        <sz val="12"/>
        <rFont val="宋体"/>
        <family val="3"/>
        <charset val="134"/>
      </rPr>
      <t>3正</t>
    </r>
    <r>
      <rPr>
        <sz val="12"/>
        <rFont val="宋体"/>
        <family val="3"/>
        <charset val="134"/>
      </rPr>
      <t>=H</t>
    </r>
    <r>
      <rPr>
        <vertAlign val="subscript"/>
        <sz val="12"/>
        <rFont val="宋体"/>
        <family val="3"/>
        <charset val="134"/>
      </rPr>
      <t>1顶</t>
    </r>
    <r>
      <rPr>
        <sz val="12"/>
        <rFont val="宋体"/>
        <family val="3"/>
        <charset val="134"/>
      </rPr>
      <t>-e=</t>
    </r>
    <phoneticPr fontId="24" type="noConversion"/>
  </si>
  <si>
    <t xml:space="preserve">   堵头建筑物级别</t>
    <phoneticPr fontId="24" type="noConversion"/>
  </si>
  <si>
    <r>
      <t>E</t>
    </r>
    <r>
      <rPr>
        <vertAlign val="subscript"/>
        <sz val="12"/>
        <rFont val="宋体"/>
        <family val="3"/>
        <charset val="134"/>
      </rPr>
      <t>i</t>
    </r>
    <r>
      <rPr>
        <sz val="12"/>
        <rFont val="宋体"/>
        <family val="3"/>
        <charset val="134"/>
      </rPr>
      <t>为作用在质点i的水平向地震惯性力代表值，kN；</t>
    </r>
    <phoneticPr fontId="24" type="noConversion"/>
  </si>
  <si>
    <t xml:space="preserve">   堵头结构安全级别</t>
    <phoneticPr fontId="24" type="noConversion"/>
  </si>
  <si>
    <r>
      <t xml:space="preserve">   混凝土计算容重γ</t>
    </r>
    <r>
      <rPr>
        <vertAlign val="subscript"/>
        <sz val="12"/>
        <rFont val="宋体"/>
        <family val="3"/>
        <charset val="134"/>
      </rPr>
      <t>c</t>
    </r>
    <r>
      <rPr>
        <sz val="12"/>
        <rFont val="宋体"/>
        <family val="3"/>
        <charset val="134"/>
      </rPr>
      <t>＝</t>
    </r>
    <phoneticPr fontId="24" type="noConversion"/>
  </si>
  <si>
    <t xml:space="preserve">   地震基本烈度</t>
    <phoneticPr fontId="24" type="noConversion"/>
  </si>
  <si>
    <r>
      <t>G</t>
    </r>
    <r>
      <rPr>
        <vertAlign val="subscript"/>
        <sz val="12"/>
        <rFont val="宋体"/>
        <family val="3"/>
        <charset val="134"/>
      </rPr>
      <t>Ei</t>
    </r>
    <r>
      <rPr>
        <sz val="12"/>
        <rFont val="宋体"/>
        <family val="3"/>
        <charset val="134"/>
      </rPr>
      <t>为集中在质点i的重力作用标准值，kN；</t>
    </r>
    <phoneticPr fontId="24" type="noConversion"/>
  </si>
  <si>
    <t xml:space="preserve">    （2）地震动水压力</t>
    <phoneticPr fontId="24" type="noConversion"/>
  </si>
  <si>
    <r>
      <t>Ψ(h</t>
    </r>
    <r>
      <rPr>
        <vertAlign val="subscript"/>
        <sz val="12"/>
        <rFont val="宋体"/>
        <family val="3"/>
        <charset val="134"/>
      </rPr>
      <t>1</t>
    </r>
    <r>
      <rPr>
        <sz val="12"/>
        <rFont val="宋体"/>
        <family val="3"/>
        <charset val="134"/>
      </rPr>
      <t>)=</t>
    </r>
    <phoneticPr fontId="24" type="noConversion"/>
  </si>
  <si>
    <r>
      <t>Ψ(h</t>
    </r>
    <r>
      <rPr>
        <vertAlign val="subscript"/>
        <sz val="12"/>
        <rFont val="宋体"/>
        <family val="3"/>
        <charset val="134"/>
      </rPr>
      <t>2</t>
    </r>
    <r>
      <rPr>
        <sz val="12"/>
        <rFont val="宋体"/>
        <family val="3"/>
        <charset val="134"/>
      </rPr>
      <t>)=</t>
    </r>
    <phoneticPr fontId="24" type="noConversion"/>
  </si>
  <si>
    <r>
      <t>Ψ(h</t>
    </r>
    <r>
      <rPr>
        <vertAlign val="subscript"/>
        <sz val="12"/>
        <rFont val="宋体"/>
        <family val="3"/>
        <charset val="134"/>
      </rPr>
      <t>3</t>
    </r>
    <r>
      <rPr>
        <sz val="12"/>
        <rFont val="宋体"/>
        <family val="3"/>
        <charset val="134"/>
      </rPr>
      <t>)=</t>
    </r>
    <phoneticPr fontId="24" type="noConversion"/>
  </si>
  <si>
    <r>
      <t>Ψ(h</t>
    </r>
    <r>
      <rPr>
        <sz val="12"/>
        <rFont val="宋体"/>
        <family val="3"/>
        <charset val="134"/>
      </rPr>
      <t>)</t>
    </r>
    <phoneticPr fontId="24" type="noConversion"/>
  </si>
  <si>
    <r>
      <t>a</t>
    </r>
    <r>
      <rPr>
        <vertAlign val="subscript"/>
        <sz val="12"/>
        <rFont val="宋体"/>
        <family val="3"/>
        <charset val="134"/>
      </rPr>
      <t>h</t>
    </r>
    <r>
      <rPr>
        <sz val="12"/>
        <rFont val="宋体"/>
        <family val="3"/>
        <charset val="134"/>
      </rPr>
      <t>为水平向设计地震加速度代表值，同上为a</t>
    </r>
    <r>
      <rPr>
        <vertAlign val="subscript"/>
        <sz val="12"/>
        <rFont val="宋体"/>
        <family val="3"/>
        <charset val="134"/>
      </rPr>
      <t>h</t>
    </r>
    <r>
      <rPr>
        <sz val="12"/>
        <rFont val="宋体"/>
        <family val="3"/>
        <charset val="134"/>
      </rPr>
      <t>=</t>
    </r>
    <phoneticPr fontId="24" type="noConversion"/>
  </si>
  <si>
    <r>
      <t>g</t>
    </r>
    <r>
      <rPr>
        <sz val="12"/>
        <rFont val="宋体"/>
        <family val="3"/>
        <charset val="134"/>
      </rPr>
      <t>；</t>
    </r>
    <phoneticPr fontId="24" type="noConversion"/>
  </si>
  <si>
    <t>查表得：</t>
    <phoneticPr fontId="24" type="noConversion"/>
  </si>
  <si>
    <r>
      <t>kN/m</t>
    </r>
    <r>
      <rPr>
        <vertAlign val="superscript"/>
        <sz val="12"/>
        <rFont val="宋体"/>
        <family val="3"/>
        <charset val="134"/>
      </rPr>
      <t>2</t>
    </r>
    <phoneticPr fontId="24" type="noConversion"/>
  </si>
  <si>
    <r>
      <t xml:space="preserve">        </t>
    </r>
    <r>
      <rPr>
        <sz val="12"/>
        <rFont val="宋体"/>
        <family val="3"/>
        <charset val="134"/>
      </rPr>
      <t>堵头顶拱：</t>
    </r>
    <phoneticPr fontId="24" type="noConversion"/>
  </si>
  <si>
    <r>
      <t xml:space="preserve">        </t>
    </r>
    <r>
      <rPr>
        <sz val="12"/>
        <rFont val="宋体"/>
        <family val="3"/>
        <charset val="134"/>
      </rPr>
      <t>堵头直墙：</t>
    </r>
    <phoneticPr fontId="24" type="noConversion"/>
  </si>
  <si>
    <t xml:space="preserve">    堵头总地震动水压力：</t>
    <phoneticPr fontId="24" type="noConversion"/>
  </si>
  <si>
    <r>
      <t>ρ</t>
    </r>
    <r>
      <rPr>
        <vertAlign val="subscript"/>
        <sz val="12"/>
        <rFont val="宋体"/>
        <family val="3"/>
        <charset val="134"/>
      </rPr>
      <t>w</t>
    </r>
    <r>
      <rPr>
        <sz val="12"/>
        <rFont val="宋体"/>
        <family val="3"/>
        <charset val="134"/>
      </rPr>
      <t>为水体质量密度标准值，ρ</t>
    </r>
    <r>
      <rPr>
        <vertAlign val="subscript"/>
        <sz val="12"/>
        <rFont val="宋体"/>
        <family val="3"/>
        <charset val="134"/>
      </rPr>
      <t>w</t>
    </r>
    <r>
      <rPr>
        <sz val="12"/>
        <rFont val="宋体"/>
        <family val="3"/>
        <charset val="134"/>
      </rPr>
      <t>=1000kg/m</t>
    </r>
    <r>
      <rPr>
        <vertAlign val="superscript"/>
        <sz val="12"/>
        <rFont val="宋体"/>
        <family val="3"/>
        <charset val="134"/>
      </rPr>
      <t>3</t>
    </r>
    <r>
      <rPr>
        <sz val="12"/>
        <rFont val="宋体"/>
        <family val="3"/>
        <charset val="134"/>
      </rPr>
      <t>；</t>
    </r>
    <phoneticPr fontId="24" type="noConversion"/>
  </si>
  <si>
    <t>工程抗震设防类别</t>
    <phoneticPr fontId="24" type="noConversion"/>
  </si>
  <si>
    <t>甲</t>
    <phoneticPr fontId="24" type="noConversion"/>
  </si>
  <si>
    <t>乙</t>
    <phoneticPr fontId="24" type="noConversion"/>
  </si>
  <si>
    <t>丙</t>
    <phoneticPr fontId="24" type="noConversion"/>
  </si>
  <si>
    <t>丁</t>
    <phoneticPr fontId="24" type="noConversion"/>
  </si>
  <si>
    <t>建筑物级别</t>
    <phoneticPr fontId="24" type="noConversion"/>
  </si>
  <si>
    <t>场地地震基本烈度</t>
    <phoneticPr fontId="24" type="noConversion"/>
  </si>
  <si>
    <t>≥Ⅵ</t>
    <phoneticPr fontId="24" type="noConversion"/>
  </si>
  <si>
    <t>≥Ⅶ</t>
    <phoneticPr fontId="24" type="noConversion"/>
  </si>
  <si>
    <r>
      <t>1</t>
    </r>
    <r>
      <rPr>
        <sz val="11"/>
        <rFont val="宋体"/>
        <family val="3"/>
        <charset val="134"/>
      </rPr>
      <t>（非壅水）、</t>
    </r>
    <r>
      <rPr>
        <sz val="11"/>
        <rFont val="Times New Roman"/>
        <family val="1"/>
      </rPr>
      <t>2</t>
    </r>
    <r>
      <rPr>
        <sz val="11"/>
        <rFont val="宋体"/>
        <family val="3"/>
        <charset val="134"/>
      </rPr>
      <t>（壅水）</t>
    </r>
    <phoneticPr fontId="24" type="noConversion"/>
  </si>
  <si>
    <r>
      <t>2</t>
    </r>
    <r>
      <rPr>
        <sz val="11"/>
        <rFont val="宋体"/>
        <family val="3"/>
        <charset val="134"/>
      </rPr>
      <t>（非壅水）、</t>
    </r>
    <r>
      <rPr>
        <sz val="11"/>
        <rFont val="Times New Roman"/>
        <family val="1"/>
      </rPr>
      <t>3</t>
    </r>
    <phoneticPr fontId="24" type="noConversion"/>
  </si>
  <si>
    <r>
      <t>4</t>
    </r>
    <r>
      <rPr>
        <sz val="11"/>
        <rFont val="宋体"/>
        <family val="3"/>
        <charset val="134"/>
      </rPr>
      <t>、</t>
    </r>
    <r>
      <rPr>
        <sz val="11"/>
        <rFont val="Times New Roman"/>
        <family val="1"/>
      </rPr>
      <t>5</t>
    </r>
    <phoneticPr fontId="24" type="noConversion"/>
  </si>
  <si>
    <t>条，基岩面下50m及其以下部位加速度代表值折半，50m以内可按线性变化）；</t>
    <phoneticPr fontId="24" type="noConversion"/>
  </si>
  <si>
    <r>
      <rPr>
        <sz val="12"/>
        <color theme="1"/>
        <rFont val="宋体"/>
        <family val="3"/>
        <charset val="134"/>
      </rPr>
      <t>定性好，防渗性好。根据</t>
    </r>
    <r>
      <rPr>
        <sz val="12"/>
        <color rgb="FFFF0000"/>
        <rFont val="宋体"/>
        <family val="3"/>
        <charset val="134"/>
      </rPr>
      <t>泄洪放空洞施工支洞</t>
    </r>
    <r>
      <rPr>
        <sz val="12"/>
        <color theme="1"/>
        <rFont val="宋体"/>
        <family val="3"/>
        <charset val="134"/>
      </rPr>
      <t>平面布置，在初步确定堵头位置、体型、长度后，</t>
    </r>
    <phoneticPr fontId="24" type="noConversion"/>
  </si>
  <si>
    <r>
      <t xml:space="preserve"> </t>
    </r>
    <r>
      <rPr>
        <sz val="14"/>
        <color rgb="FFFF0000"/>
        <rFont val="黑体"/>
        <family val="3"/>
        <charset val="134"/>
      </rPr>
      <t>××</t>
    </r>
    <r>
      <rPr>
        <sz val="14"/>
        <rFont val="黑体"/>
        <family val="3"/>
        <charset val="134"/>
      </rPr>
      <t>工程</t>
    </r>
    <r>
      <rPr>
        <sz val="14"/>
        <color rgb="FFFF0000"/>
        <rFont val="黑体"/>
        <family val="3"/>
        <charset val="134"/>
      </rPr>
      <t>××</t>
    </r>
    <r>
      <rPr>
        <sz val="14"/>
        <rFont val="黑体"/>
        <family val="3"/>
        <charset val="134"/>
      </rPr>
      <t>堵头长度及结构稳定性复核计算</t>
    </r>
    <phoneticPr fontId="24" type="noConversion"/>
  </si>
  <si>
    <r>
      <t xml:space="preserve">    本项计算是</t>
    </r>
    <r>
      <rPr>
        <sz val="12"/>
        <color rgb="FFFF0000"/>
        <rFont val="宋体"/>
        <family val="3"/>
        <charset val="134"/>
      </rPr>
      <t>××</t>
    </r>
    <r>
      <rPr>
        <sz val="12"/>
        <rFont val="宋体"/>
        <family val="3"/>
        <charset val="134"/>
      </rPr>
      <t>水电站</t>
    </r>
    <r>
      <rPr>
        <sz val="12"/>
        <color rgb="FFFF0000"/>
        <rFont val="宋体"/>
        <family val="3"/>
        <charset val="134"/>
      </rPr>
      <t>××</t>
    </r>
    <r>
      <rPr>
        <sz val="12"/>
        <rFont val="宋体"/>
        <family val="3"/>
        <charset val="134"/>
      </rPr>
      <t>阶段的</t>
    </r>
    <r>
      <rPr>
        <sz val="12"/>
        <color rgb="FFFF0000"/>
        <rFont val="宋体"/>
        <family val="3"/>
        <charset val="134"/>
      </rPr>
      <t>××</t>
    </r>
    <r>
      <rPr>
        <sz val="12"/>
        <rFont val="宋体"/>
        <family val="3"/>
        <charset val="134"/>
      </rPr>
      <t>堵头结构计算，计算内容包括堵头</t>
    </r>
    <phoneticPr fontId="24" type="noConversion"/>
  </si>
  <si>
    <t xml:space="preserve">    孔洞型式：</t>
    <phoneticPr fontId="24" type="noConversion"/>
  </si>
  <si>
    <t xml:space="preserve">    孔洞底板与水平面夹角θ=</t>
  </si>
  <si>
    <r>
      <t>附件：</t>
    </r>
    <r>
      <rPr>
        <sz val="12"/>
        <color rgb="FFFF0000"/>
        <rFont val="黑体"/>
        <family val="3"/>
        <charset val="134"/>
      </rPr>
      <t>×××</t>
    </r>
    <r>
      <rPr>
        <sz val="12"/>
        <rFont val="黑体"/>
        <family val="3"/>
        <charset val="134"/>
      </rPr>
      <t>布置及结构图 ……………………………………………………………</t>
    </r>
    <phoneticPr fontId="24" type="noConversion"/>
  </si>
  <si>
    <r>
      <t xml:space="preserve">      堵头段</t>
    </r>
    <r>
      <rPr>
        <sz val="12"/>
        <color rgb="FFFF0000"/>
        <rFont val="黑体"/>
        <family val="3"/>
        <charset val="134"/>
      </rPr>
      <t>××</t>
    </r>
    <r>
      <rPr>
        <sz val="12"/>
        <rFont val="黑体"/>
        <family val="3"/>
        <charset val="134"/>
      </rPr>
      <t>支护图 ………………………………………………………………</t>
    </r>
    <phoneticPr fontId="24" type="noConversion"/>
  </si>
  <si>
    <t xml:space="preserve">        廊道型式：</t>
    <phoneticPr fontId="24" type="noConversion"/>
  </si>
  <si>
    <r>
      <t xml:space="preserve">        廊道净宽度b</t>
    </r>
    <r>
      <rPr>
        <vertAlign val="subscript"/>
        <sz val="12"/>
        <rFont val="宋体"/>
        <family val="3"/>
        <charset val="134"/>
      </rPr>
      <t>廊</t>
    </r>
    <r>
      <rPr>
        <sz val="12"/>
        <rFont val="宋体"/>
        <family val="3"/>
        <charset val="134"/>
      </rPr>
      <t>=</t>
    </r>
    <phoneticPr fontId="24" type="noConversion"/>
  </si>
  <si>
    <r>
      <t xml:space="preserve">        廊道净高度a</t>
    </r>
    <r>
      <rPr>
        <vertAlign val="subscript"/>
        <sz val="12"/>
        <rFont val="宋体"/>
        <family val="3"/>
        <charset val="134"/>
      </rPr>
      <t>廊</t>
    </r>
    <r>
      <rPr>
        <sz val="12"/>
        <rFont val="宋体"/>
        <family val="3"/>
        <charset val="134"/>
      </rPr>
      <t>=</t>
    </r>
    <phoneticPr fontId="24" type="noConversion"/>
  </si>
  <si>
    <r>
      <t xml:space="preserve">        廊道顶拱中心角α</t>
    </r>
    <r>
      <rPr>
        <vertAlign val="subscript"/>
        <sz val="12"/>
        <rFont val="宋体"/>
        <family val="3"/>
        <charset val="134"/>
      </rPr>
      <t>廊</t>
    </r>
    <r>
      <rPr>
        <sz val="12"/>
        <rFont val="宋体"/>
        <family val="3"/>
        <charset val="134"/>
      </rPr>
      <t>=</t>
    </r>
    <phoneticPr fontId="24" type="noConversion"/>
  </si>
  <si>
    <r>
      <rPr>
        <sz val="12"/>
        <color theme="1"/>
        <rFont val="Times New Roman"/>
        <family val="1"/>
      </rPr>
      <t xml:space="preserve">                </t>
    </r>
    <r>
      <rPr>
        <sz val="12"/>
        <color theme="1"/>
        <rFont val="宋体"/>
        <family val="3"/>
        <charset val="134"/>
      </rPr>
      <t>廊道顶拱高度</t>
    </r>
    <r>
      <rPr>
        <sz val="12"/>
        <color theme="1"/>
        <rFont val="Times New Roman"/>
        <family val="1"/>
      </rPr>
      <t xml:space="preserve"> h</t>
    </r>
    <r>
      <rPr>
        <vertAlign val="subscript"/>
        <sz val="12"/>
        <color theme="1"/>
        <rFont val="Times New Roman"/>
        <family val="1"/>
      </rPr>
      <t>1</t>
    </r>
    <r>
      <rPr>
        <vertAlign val="subscript"/>
        <sz val="12"/>
        <color theme="1"/>
        <rFont val="宋体"/>
        <family val="3"/>
        <charset val="134"/>
      </rPr>
      <t>廊</t>
    </r>
    <r>
      <rPr>
        <sz val="12"/>
        <color theme="1"/>
        <rFont val="Times New Roman"/>
        <family val="1"/>
      </rPr>
      <t>=r</t>
    </r>
    <r>
      <rPr>
        <vertAlign val="subscript"/>
        <sz val="12"/>
        <color theme="1"/>
        <rFont val="宋体"/>
        <family val="3"/>
        <charset val="134"/>
      </rPr>
      <t>廊</t>
    </r>
    <r>
      <rPr>
        <sz val="12"/>
        <color theme="1"/>
        <rFont val="Times New Roman"/>
        <family val="1"/>
      </rPr>
      <t>-r</t>
    </r>
    <r>
      <rPr>
        <vertAlign val="subscript"/>
        <sz val="12"/>
        <color theme="1"/>
        <rFont val="宋体"/>
        <family val="3"/>
        <charset val="134"/>
      </rPr>
      <t>廊</t>
    </r>
    <r>
      <rPr>
        <sz val="12"/>
        <color theme="1"/>
        <rFont val="Times New Roman"/>
        <family val="1"/>
      </rPr>
      <t>cos(α</t>
    </r>
    <r>
      <rPr>
        <vertAlign val="subscript"/>
        <sz val="12"/>
        <color theme="1"/>
        <rFont val="宋体"/>
        <family val="3"/>
        <charset val="134"/>
      </rPr>
      <t>廊</t>
    </r>
    <r>
      <rPr>
        <sz val="12"/>
        <color theme="1"/>
        <rFont val="Times New Roman"/>
        <family val="1"/>
      </rPr>
      <t>/2)=</t>
    </r>
    <phoneticPr fontId="24" type="noConversion"/>
  </si>
  <si>
    <r>
      <t xml:space="preserve">        廊道顶拱半径 </t>
    </r>
    <r>
      <rPr>
        <sz val="12"/>
        <color theme="1"/>
        <rFont val="Times New Roman"/>
        <family val="1"/>
      </rPr>
      <t xml:space="preserve"> r</t>
    </r>
    <r>
      <rPr>
        <vertAlign val="subscript"/>
        <sz val="12"/>
        <color theme="1"/>
        <rFont val="宋体"/>
        <family val="3"/>
        <charset val="134"/>
      </rPr>
      <t>廊</t>
    </r>
    <r>
      <rPr>
        <sz val="12"/>
        <color theme="1"/>
        <rFont val="Times New Roman"/>
        <family val="1"/>
      </rPr>
      <t xml:space="preserve"> =b</t>
    </r>
    <r>
      <rPr>
        <vertAlign val="subscript"/>
        <sz val="12"/>
        <color theme="1"/>
        <rFont val="宋体"/>
        <family val="3"/>
        <charset val="134"/>
      </rPr>
      <t>廊</t>
    </r>
    <r>
      <rPr>
        <sz val="12"/>
        <color theme="1"/>
        <rFont val="Times New Roman"/>
        <family val="1"/>
      </rPr>
      <t>/(2sin(α</t>
    </r>
    <r>
      <rPr>
        <vertAlign val="subscript"/>
        <sz val="12"/>
        <color theme="1"/>
        <rFont val="宋体"/>
        <family val="3"/>
        <charset val="134"/>
      </rPr>
      <t>廊</t>
    </r>
    <r>
      <rPr>
        <sz val="12"/>
        <color theme="1"/>
        <rFont val="Times New Roman"/>
        <family val="1"/>
      </rPr>
      <t>/2))=</t>
    </r>
    <phoneticPr fontId="24" type="noConversion"/>
  </si>
  <si>
    <r>
      <rPr>
        <sz val="12"/>
        <color theme="1"/>
        <rFont val="Times New Roman"/>
        <family val="1"/>
      </rPr>
      <t xml:space="preserve">  </t>
    </r>
    <r>
      <rPr>
        <sz val="12"/>
        <color theme="1"/>
        <rFont val="宋体"/>
        <family val="3"/>
        <charset val="134"/>
      </rPr>
      <t xml:space="preserve">       廊道直墙高度</t>
    </r>
    <r>
      <rPr>
        <sz val="12"/>
        <color theme="1"/>
        <rFont val="Times New Roman"/>
        <family val="1"/>
      </rPr>
      <t xml:space="preserve"> h</t>
    </r>
    <r>
      <rPr>
        <vertAlign val="subscript"/>
        <sz val="12"/>
        <color theme="1"/>
        <rFont val="Times New Roman"/>
        <family val="1"/>
      </rPr>
      <t>2</t>
    </r>
    <r>
      <rPr>
        <vertAlign val="subscript"/>
        <sz val="12"/>
        <color theme="1"/>
        <rFont val="宋体"/>
        <family val="3"/>
        <charset val="134"/>
      </rPr>
      <t>廊</t>
    </r>
    <r>
      <rPr>
        <sz val="12"/>
        <color theme="1"/>
        <rFont val="Times New Roman"/>
        <family val="1"/>
      </rPr>
      <t>=a</t>
    </r>
    <r>
      <rPr>
        <vertAlign val="subscript"/>
        <sz val="12"/>
        <color theme="1"/>
        <rFont val="宋体"/>
        <family val="3"/>
        <charset val="134"/>
      </rPr>
      <t>廊</t>
    </r>
    <r>
      <rPr>
        <sz val="12"/>
        <color theme="1"/>
        <rFont val="Times New Roman"/>
        <family val="1"/>
      </rPr>
      <t>-h</t>
    </r>
    <r>
      <rPr>
        <vertAlign val="subscript"/>
        <sz val="12"/>
        <color theme="1"/>
        <rFont val="Times New Roman"/>
        <family val="1"/>
      </rPr>
      <t>1</t>
    </r>
    <r>
      <rPr>
        <vertAlign val="subscript"/>
        <sz val="12"/>
        <color theme="1"/>
        <rFont val="宋体"/>
        <family val="3"/>
        <charset val="134"/>
      </rPr>
      <t>廊</t>
    </r>
    <r>
      <rPr>
        <sz val="12"/>
        <color theme="1"/>
        <rFont val="Times New Roman"/>
        <family val="1"/>
      </rPr>
      <t>=</t>
    </r>
    <phoneticPr fontId="24" type="noConversion"/>
  </si>
  <si>
    <r>
      <t xml:space="preserve">        廊道顶拱长</t>
    </r>
    <r>
      <rPr>
        <sz val="12"/>
        <color theme="1"/>
        <rFont val="Times New Roman"/>
        <family val="1"/>
      </rPr>
      <t>l</t>
    </r>
    <r>
      <rPr>
        <vertAlign val="subscript"/>
        <sz val="12"/>
        <color theme="1"/>
        <rFont val="宋体"/>
        <family val="3"/>
        <charset val="134"/>
      </rPr>
      <t>廊</t>
    </r>
    <r>
      <rPr>
        <sz val="12"/>
        <color theme="1"/>
        <rFont val="Times New Roman"/>
        <family val="1"/>
      </rPr>
      <t>=2πα</t>
    </r>
    <r>
      <rPr>
        <vertAlign val="subscript"/>
        <sz val="12"/>
        <color theme="1"/>
        <rFont val="宋体"/>
        <family val="3"/>
        <charset val="134"/>
      </rPr>
      <t>廊</t>
    </r>
    <r>
      <rPr>
        <sz val="12"/>
        <color theme="1"/>
        <rFont val="Times New Roman"/>
        <family val="1"/>
      </rPr>
      <t>r</t>
    </r>
    <r>
      <rPr>
        <vertAlign val="subscript"/>
        <sz val="12"/>
        <color theme="1"/>
        <rFont val="宋体"/>
        <family val="3"/>
        <charset val="134"/>
      </rPr>
      <t>廊</t>
    </r>
    <r>
      <rPr>
        <sz val="12"/>
        <color theme="1"/>
        <rFont val="Times New Roman"/>
        <family val="1"/>
      </rPr>
      <t>/360=</t>
    </r>
    <phoneticPr fontId="24" type="noConversion"/>
  </si>
  <si>
    <r>
      <t xml:space="preserve">        廊道净面积ω</t>
    </r>
    <r>
      <rPr>
        <vertAlign val="subscript"/>
        <sz val="12"/>
        <rFont val="宋体"/>
        <family val="3"/>
        <charset val="134"/>
      </rPr>
      <t>廊</t>
    </r>
    <r>
      <rPr>
        <sz val="12"/>
        <rFont val="宋体"/>
        <family val="3"/>
        <charset val="134"/>
      </rPr>
      <t>=b</t>
    </r>
    <r>
      <rPr>
        <vertAlign val="subscript"/>
        <sz val="12"/>
        <rFont val="宋体"/>
        <family val="3"/>
        <charset val="134"/>
      </rPr>
      <t>廊</t>
    </r>
    <r>
      <rPr>
        <sz val="12"/>
        <rFont val="宋体"/>
        <family val="3"/>
        <charset val="134"/>
      </rPr>
      <t>h</t>
    </r>
    <r>
      <rPr>
        <vertAlign val="subscript"/>
        <sz val="12"/>
        <rFont val="宋体"/>
        <family val="3"/>
        <charset val="134"/>
      </rPr>
      <t>2廊</t>
    </r>
    <r>
      <rPr>
        <sz val="12"/>
        <rFont val="宋体"/>
        <family val="3"/>
        <charset val="134"/>
      </rPr>
      <t>+πr</t>
    </r>
    <r>
      <rPr>
        <vertAlign val="subscript"/>
        <sz val="12"/>
        <rFont val="宋体"/>
        <family val="3"/>
        <charset val="134"/>
      </rPr>
      <t>廊</t>
    </r>
    <r>
      <rPr>
        <vertAlign val="superscript"/>
        <sz val="12"/>
        <rFont val="宋体"/>
        <family val="3"/>
        <charset val="134"/>
      </rPr>
      <t>2</t>
    </r>
    <r>
      <rPr>
        <sz val="12"/>
        <rFont val="宋体"/>
        <family val="3"/>
        <charset val="134"/>
      </rPr>
      <t>(α</t>
    </r>
    <r>
      <rPr>
        <vertAlign val="subscript"/>
        <sz val="12"/>
        <rFont val="宋体"/>
        <family val="3"/>
        <charset val="134"/>
      </rPr>
      <t>廊</t>
    </r>
    <r>
      <rPr>
        <sz val="12"/>
        <rFont val="宋体"/>
        <family val="3"/>
        <charset val="134"/>
      </rPr>
      <t>/360)-b</t>
    </r>
    <r>
      <rPr>
        <vertAlign val="subscript"/>
        <sz val="12"/>
        <rFont val="宋体"/>
        <family val="3"/>
        <charset val="134"/>
      </rPr>
      <t>廊</t>
    </r>
    <r>
      <rPr>
        <sz val="12"/>
        <rFont val="宋体"/>
        <family val="3"/>
        <charset val="134"/>
      </rPr>
      <t>(r</t>
    </r>
    <r>
      <rPr>
        <vertAlign val="subscript"/>
        <sz val="12"/>
        <rFont val="宋体"/>
        <family val="3"/>
        <charset val="134"/>
      </rPr>
      <t>廊</t>
    </r>
    <r>
      <rPr>
        <sz val="12"/>
        <rFont val="宋体"/>
        <family val="3"/>
        <charset val="134"/>
      </rPr>
      <t>-h</t>
    </r>
    <r>
      <rPr>
        <vertAlign val="subscript"/>
        <sz val="12"/>
        <rFont val="宋体"/>
        <family val="3"/>
        <charset val="134"/>
      </rPr>
      <t>1廊</t>
    </r>
    <r>
      <rPr>
        <sz val="12"/>
        <rFont val="宋体"/>
        <family val="3"/>
        <charset val="134"/>
      </rPr>
      <t>)/2=</t>
    </r>
    <phoneticPr fontId="24" type="noConversion"/>
  </si>
  <si>
    <r>
      <t xml:space="preserve">        廊道长度L</t>
    </r>
    <r>
      <rPr>
        <vertAlign val="subscript"/>
        <sz val="12"/>
        <rFont val="宋体"/>
        <family val="3"/>
        <charset val="134"/>
      </rPr>
      <t>廊</t>
    </r>
    <r>
      <rPr>
        <sz val="12"/>
        <rFont val="宋体"/>
        <family val="3"/>
        <charset val="134"/>
      </rPr>
      <t>=</t>
    </r>
    <phoneticPr fontId="24" type="noConversion"/>
  </si>
  <si>
    <r>
      <t xml:space="preserve">     堵头内设灌浆廊道且不回填混凝土时：</t>
    </r>
    <r>
      <rPr>
        <sz val="12"/>
        <color rgb="FFFF0000"/>
        <rFont val="宋体"/>
        <family val="3"/>
        <charset val="134"/>
      </rPr>
      <t/>
    </r>
    <phoneticPr fontId="24" type="noConversion"/>
  </si>
  <si>
    <t xml:space="preserve">  4.4 堵头长度估算 ……………………………………………………………………</t>
    <phoneticPr fontId="24" type="noConversion"/>
  </si>
  <si>
    <t>-</t>
    <phoneticPr fontId="24" type="noConversion"/>
  </si>
  <si>
    <t xml:space="preserve">       1)非地震工况</t>
    <phoneticPr fontId="24" type="noConversion"/>
  </si>
  <si>
    <r>
      <t xml:space="preserve">                  </t>
    </r>
    <r>
      <rPr>
        <sz val="12"/>
        <color theme="1"/>
        <rFont val="宋体"/>
        <family val="3"/>
        <charset val="134"/>
      </rPr>
      <t>自重作用分项系数</t>
    </r>
    <r>
      <rPr>
        <sz val="12"/>
        <color theme="1"/>
        <rFont val="Times New Roman"/>
        <family val="1"/>
      </rPr>
      <t>γ</t>
    </r>
    <r>
      <rPr>
        <vertAlign val="subscript"/>
        <sz val="12"/>
        <color theme="1"/>
        <rFont val="Times New Roman"/>
        <family val="1"/>
      </rPr>
      <t>G</t>
    </r>
    <r>
      <rPr>
        <sz val="12"/>
        <color theme="1"/>
        <rFont val="Times New Roman"/>
        <family val="1"/>
      </rPr>
      <t>=</t>
    </r>
    <phoneticPr fontId="24" type="noConversion"/>
  </si>
  <si>
    <t xml:space="preserve">       2)地震工况</t>
    <phoneticPr fontId="24" type="noConversion"/>
  </si>
  <si>
    <r>
      <t xml:space="preserve">                  </t>
    </r>
    <r>
      <rPr>
        <sz val="12"/>
        <color theme="1"/>
        <rFont val="宋体"/>
        <family val="3"/>
        <charset val="134"/>
      </rPr>
      <t>自重作用分项系数</t>
    </r>
    <r>
      <rPr>
        <sz val="12"/>
        <color theme="1"/>
        <rFont val="Times New Roman"/>
        <family val="1"/>
      </rPr>
      <t>γ</t>
    </r>
    <r>
      <rPr>
        <vertAlign val="subscript"/>
        <sz val="12"/>
        <color theme="1"/>
        <rFont val="Times New Roman"/>
        <family val="1"/>
      </rPr>
      <t>Gd</t>
    </r>
    <r>
      <rPr>
        <sz val="12"/>
        <color theme="1"/>
        <rFont val="Times New Roman"/>
        <family val="1"/>
      </rPr>
      <t>=</t>
    </r>
    <phoneticPr fontId="24" type="noConversion"/>
  </si>
  <si>
    <t>(设计洪水位)</t>
    <phoneticPr fontId="24" type="noConversion"/>
  </si>
  <si>
    <t>(校核洪水位或地震)</t>
    <phoneticPr fontId="24" type="noConversion"/>
  </si>
  <si>
    <r>
      <t xml:space="preserve">    </t>
    </r>
    <r>
      <rPr>
        <sz val="12"/>
        <color theme="1"/>
        <rFont val="宋体"/>
        <family val="3"/>
        <charset val="134"/>
      </rPr>
      <t>根据互提资料联系单（见附件），</t>
    </r>
    <r>
      <rPr>
        <sz val="12"/>
        <color rgb="FFFF0000"/>
        <rFont val="宋体"/>
        <family val="3"/>
        <charset val="134"/>
      </rPr>
      <t>江坪河</t>
    </r>
    <r>
      <rPr>
        <sz val="12"/>
        <color theme="1"/>
        <rFont val="宋体"/>
        <family val="3"/>
        <charset val="134"/>
      </rPr>
      <t>水电站坝址区场地地震基本烈度为</t>
    </r>
    <r>
      <rPr>
        <sz val="12"/>
        <color rgb="FFFF0000"/>
        <rFont val="宋体"/>
        <family val="3"/>
        <charset val="134"/>
      </rPr>
      <t>Ⅵ</t>
    </r>
    <r>
      <rPr>
        <sz val="12"/>
        <color theme="1"/>
        <rFont val="宋体"/>
        <family val="3"/>
        <charset val="134"/>
      </rPr>
      <t>度</t>
    </r>
    <r>
      <rPr>
        <sz val="12"/>
        <color rgb="FFFF0000"/>
        <rFont val="宋体"/>
        <family val="3"/>
        <charset val="134"/>
      </rPr>
      <t>，</t>
    </r>
    <r>
      <rPr>
        <sz val="12"/>
        <color theme="1"/>
        <rFont val="宋体"/>
        <family val="3"/>
        <charset val="134"/>
      </rPr>
      <t>堵头为</t>
    </r>
    <r>
      <rPr>
        <sz val="12"/>
        <color rgb="FFFF0000"/>
        <rFont val="宋体"/>
        <family val="3"/>
        <charset val="134"/>
      </rPr>
      <t>1</t>
    </r>
    <r>
      <rPr>
        <sz val="12"/>
        <color theme="1"/>
        <rFont val="宋体"/>
        <family val="3"/>
        <charset val="134"/>
      </rPr>
      <t>级壅</t>
    </r>
    <phoneticPr fontId="24" type="noConversion"/>
  </si>
  <si>
    <r>
      <t>1</t>
    </r>
    <r>
      <rPr>
        <sz val="11"/>
        <rFont val="宋体"/>
        <family val="3"/>
        <charset val="134"/>
      </rPr>
      <t>（壅水和重要泄水）</t>
    </r>
    <phoneticPr fontId="24" type="noConversion"/>
  </si>
  <si>
    <t>甲（壅水和重要泄水）</t>
    <phoneticPr fontId="24" type="noConversion"/>
  </si>
  <si>
    <t>乙（非壅水）</t>
    <phoneticPr fontId="24" type="noConversion"/>
  </si>
  <si>
    <t>其余</t>
    <phoneticPr fontId="24" type="noConversion"/>
  </si>
  <si>
    <t>建筑物的基岩平坦地表水平向设计地震动峰值加速度代表值的概率水准</t>
    <phoneticPr fontId="24" type="noConversion"/>
  </si>
  <si>
    <r>
      <t>100年内超越概率P</t>
    </r>
    <r>
      <rPr>
        <vertAlign val="subscript"/>
        <sz val="11"/>
        <rFont val="宋体"/>
        <family val="3"/>
        <charset val="134"/>
      </rPr>
      <t>100</t>
    </r>
    <r>
      <rPr>
        <sz val="11"/>
        <rFont val="宋体"/>
        <family val="3"/>
        <charset val="134"/>
      </rPr>
      <t>为0.02</t>
    </r>
    <phoneticPr fontId="24" type="noConversion"/>
  </si>
  <si>
    <r>
      <t>50年内超越概率P</t>
    </r>
    <r>
      <rPr>
        <vertAlign val="subscript"/>
        <sz val="11"/>
        <rFont val="宋体"/>
        <family val="3"/>
        <charset val="134"/>
      </rPr>
      <t>50</t>
    </r>
    <r>
      <rPr>
        <sz val="11"/>
        <rFont val="宋体"/>
        <family val="3"/>
        <charset val="134"/>
      </rPr>
      <t>为0.05</t>
    </r>
    <phoneticPr fontId="24" type="noConversion"/>
  </si>
  <si>
    <r>
      <t>50年内超越概率P</t>
    </r>
    <r>
      <rPr>
        <vertAlign val="subscript"/>
        <sz val="11"/>
        <rFont val="宋体"/>
        <family val="3"/>
        <charset val="134"/>
      </rPr>
      <t>50</t>
    </r>
    <r>
      <rPr>
        <sz val="11"/>
        <rFont val="宋体"/>
        <family val="3"/>
        <charset val="134"/>
      </rPr>
      <t>为0.10</t>
    </r>
    <phoneticPr fontId="24" type="noConversion"/>
  </si>
  <si>
    <t xml:space="preserve">    水位特征值是否含水锤值</t>
    <phoneticPr fontId="24" type="noConversion"/>
  </si>
  <si>
    <t>否</t>
    <phoneticPr fontId="24" type="noConversion"/>
  </si>
  <si>
    <r>
      <t>γ</t>
    </r>
    <r>
      <rPr>
        <vertAlign val="subscript"/>
        <sz val="11"/>
        <rFont val="宋体"/>
        <family val="3"/>
        <charset val="134"/>
      </rPr>
      <t>0</t>
    </r>
    <r>
      <rPr>
        <sz val="11"/>
        <rFont val="宋体"/>
        <family val="3"/>
        <charset val="134"/>
      </rPr>
      <t>ψS(•)</t>
    </r>
    <phoneticPr fontId="24" type="noConversion"/>
  </si>
  <si>
    <t>g(见附件互提</t>
    <phoneticPr fontId="24" type="noConversion"/>
  </si>
  <si>
    <t xml:space="preserve">   堵头段孔洞顶拱以上岩体最小厚度=</t>
    <phoneticPr fontId="24" type="noConversion"/>
  </si>
  <si>
    <r>
      <t>m</t>
    </r>
    <r>
      <rPr>
        <sz val="12"/>
        <color rgb="FFFF0000"/>
        <rFont val="宋体"/>
        <family val="3"/>
        <charset val="134"/>
      </rPr>
      <t>（无廊道或设廊道但回填混凝土时，长度输入0）</t>
    </r>
    <phoneticPr fontId="24" type="noConversion"/>
  </si>
  <si>
    <t xml:space="preserve">        式中：θ为迎水面与水平面的锐角夹角，θ=</t>
    <phoneticPr fontId="24" type="noConversion"/>
  </si>
  <si>
    <t>即对堵头进行结构稳定复核计算。</t>
    <phoneticPr fontId="24" type="noConversion"/>
  </si>
  <si>
    <r>
      <t>高程</t>
    </r>
    <r>
      <rPr>
        <sz val="12"/>
        <color rgb="FFFF0000"/>
        <rFont val="Times New Roman"/>
        <family val="1"/>
      </rPr>
      <t>369.000</t>
    </r>
    <r>
      <rPr>
        <sz val="12"/>
        <color rgb="FFFF0000"/>
        <rFont val="宋体"/>
        <family val="3"/>
        <charset val="134"/>
      </rPr>
      <t>m，堵头段仅喷混凝土厚0.10m，其开挖断面尺寸为</t>
    </r>
    <r>
      <rPr>
        <sz val="12"/>
        <color rgb="FFFF0000"/>
        <rFont val="Times New Roman"/>
        <family val="1"/>
      </rPr>
      <t>7.5m×6.5m</t>
    </r>
    <r>
      <rPr>
        <sz val="12"/>
        <color rgb="FFFF0000"/>
        <rFont val="宋体"/>
        <family val="3"/>
        <charset val="134"/>
      </rPr>
      <t>（宽×高）</t>
    </r>
    <r>
      <rPr>
        <sz val="12"/>
        <color rgb="FFFF0000"/>
        <rFont val="Times New Roman"/>
        <family val="1"/>
      </rPr>
      <t>(</t>
    </r>
    <r>
      <rPr>
        <sz val="12"/>
        <color rgb="FFFF0000"/>
        <rFont val="宋体"/>
        <family val="3"/>
        <charset val="134"/>
      </rPr>
      <t>不含排水沟），</t>
    </r>
    <phoneticPr fontId="24" type="noConversion"/>
  </si>
  <si>
    <t>混凝土拆除干净。</t>
  </si>
  <si>
    <t>（偏安全一般取浮容重）</t>
    <phoneticPr fontId="24" type="noConversion"/>
  </si>
  <si>
    <t xml:space="preserve">    堵头稳定计算面封堵体净宽度b=</t>
    <phoneticPr fontId="24" type="noConversion"/>
  </si>
  <si>
    <t xml:space="preserve">    堵头稳定计算面封堵体净高度a=</t>
    <phoneticPr fontId="24" type="noConversion"/>
  </si>
  <si>
    <t xml:space="preserve">    封堵体顶拱中心角α  =</t>
    <phoneticPr fontId="24" type="noConversion"/>
  </si>
  <si>
    <r>
      <t xml:space="preserve">    封堵体顶拱半径 </t>
    </r>
    <r>
      <rPr>
        <sz val="12"/>
        <color theme="1"/>
        <rFont val="Times New Roman"/>
        <family val="1"/>
      </rPr>
      <t xml:space="preserve"> r =b/(2sin(α/2))=</t>
    </r>
    <phoneticPr fontId="24" type="noConversion"/>
  </si>
  <si>
    <r>
      <rPr>
        <sz val="12"/>
        <color theme="1"/>
        <rFont val="Times New Roman"/>
        <family val="1"/>
      </rPr>
      <t xml:space="preserve"> </t>
    </r>
    <r>
      <rPr>
        <sz val="12"/>
        <color theme="1"/>
        <rFont val="宋体"/>
        <family val="3"/>
        <charset val="134"/>
      </rPr>
      <t xml:space="preserve">    封堵体顶拱高度</t>
    </r>
    <r>
      <rPr>
        <sz val="12"/>
        <color theme="1"/>
        <rFont val="Times New Roman"/>
        <family val="1"/>
      </rPr>
      <t xml:space="preserve"> h</t>
    </r>
    <r>
      <rPr>
        <vertAlign val="subscript"/>
        <sz val="12"/>
        <color theme="1"/>
        <rFont val="Times New Roman"/>
        <family val="1"/>
      </rPr>
      <t>1</t>
    </r>
    <r>
      <rPr>
        <sz val="12"/>
        <color theme="1"/>
        <rFont val="Times New Roman"/>
        <family val="1"/>
      </rPr>
      <t>=r-rcos(α/2)=</t>
    </r>
    <phoneticPr fontId="24" type="noConversion"/>
  </si>
  <si>
    <r>
      <rPr>
        <sz val="12"/>
        <color theme="1"/>
        <rFont val="Times New Roman"/>
        <family val="1"/>
      </rPr>
      <t xml:space="preserve">  </t>
    </r>
    <r>
      <rPr>
        <sz val="12"/>
        <color theme="1"/>
        <rFont val="宋体"/>
        <family val="3"/>
        <charset val="134"/>
      </rPr>
      <t xml:space="preserve">   封堵体直墙高度</t>
    </r>
    <r>
      <rPr>
        <sz val="12"/>
        <color theme="1"/>
        <rFont val="Times New Roman"/>
        <family val="1"/>
      </rPr>
      <t xml:space="preserve"> h</t>
    </r>
    <r>
      <rPr>
        <vertAlign val="subscript"/>
        <sz val="12"/>
        <color theme="1"/>
        <rFont val="Times New Roman"/>
        <family val="1"/>
      </rPr>
      <t>2</t>
    </r>
    <r>
      <rPr>
        <sz val="12"/>
        <color theme="1"/>
        <rFont val="Times New Roman"/>
        <family val="1"/>
      </rPr>
      <t>=a-h</t>
    </r>
    <r>
      <rPr>
        <vertAlign val="subscript"/>
        <sz val="12"/>
        <color theme="1"/>
        <rFont val="Times New Roman"/>
        <family val="1"/>
      </rPr>
      <t>1</t>
    </r>
    <r>
      <rPr>
        <sz val="12"/>
        <color theme="1"/>
        <rFont val="Times New Roman"/>
        <family val="1"/>
      </rPr>
      <t>=</t>
    </r>
    <phoneticPr fontId="24" type="noConversion"/>
  </si>
  <si>
    <r>
      <t xml:space="preserve">    封堵体顶拱长</t>
    </r>
    <r>
      <rPr>
        <sz val="12"/>
        <color theme="1"/>
        <rFont val="Times New Roman"/>
        <family val="1"/>
      </rPr>
      <t>l=2παr/360=</t>
    </r>
    <phoneticPr fontId="24" type="noConversion"/>
  </si>
  <si>
    <t>4.4 堵头长度估算（估算时不考虑设灌浆廊道，也不考虑地震工况）</t>
    <phoneticPr fontId="24" type="noConversion"/>
  </si>
  <si>
    <r>
      <t xml:space="preserve">        </t>
    </r>
    <r>
      <rPr>
        <sz val="12"/>
        <rFont val="宋体"/>
        <family val="3"/>
        <charset val="134"/>
      </rPr>
      <t>考虑堵头施工时施工条件及诸多因素的影响，结合相关设计经验，堵头长度一般不宜</t>
    </r>
    <phoneticPr fontId="24" type="noConversion"/>
  </si>
  <si>
    <r>
      <t xml:space="preserve">  P = L(Aγf/K</t>
    </r>
    <r>
      <rPr>
        <vertAlign val="subscript"/>
        <sz val="12"/>
        <color theme="1"/>
        <rFont val="Times New Roman"/>
        <family val="1"/>
      </rPr>
      <t>1</t>
    </r>
    <r>
      <rPr>
        <sz val="12"/>
        <color theme="1"/>
        <rFont val="Times New Roman"/>
        <family val="1"/>
      </rPr>
      <t>+SλC/K</t>
    </r>
    <r>
      <rPr>
        <vertAlign val="subscript"/>
        <sz val="12"/>
        <color theme="1"/>
        <rFont val="Times New Roman"/>
        <family val="1"/>
      </rPr>
      <t>2</t>
    </r>
    <r>
      <rPr>
        <sz val="12"/>
        <color theme="1"/>
        <rFont val="Times New Roman"/>
        <family val="1"/>
      </rPr>
      <t>)</t>
    </r>
    <phoneticPr fontId="24" type="noConversion"/>
  </si>
  <si>
    <r>
      <t xml:space="preserve">        2</t>
    </r>
    <r>
      <rPr>
        <sz val="12"/>
        <rFont val="宋体"/>
        <family val="3"/>
        <charset val="134"/>
      </rPr>
      <t>）校核洪水位下长度估算</t>
    </r>
    <phoneticPr fontId="24" type="noConversion"/>
  </si>
  <si>
    <t>m</t>
    <phoneticPr fontId="24" type="noConversion"/>
  </si>
  <si>
    <t>估算长度</t>
    <phoneticPr fontId="24" type="noConversion"/>
  </si>
  <si>
    <t>按式2-8-240</t>
    <phoneticPr fontId="24" type="noConversion"/>
  </si>
  <si>
    <t>按式2-8-241</t>
    <phoneticPr fontId="24" type="noConversion"/>
  </si>
  <si>
    <r>
      <rPr>
        <sz val="12"/>
        <color theme="1"/>
        <rFont val="宋体"/>
        <family val="3"/>
        <charset val="134"/>
      </rPr>
      <t>按式</t>
    </r>
    <r>
      <rPr>
        <sz val="12"/>
        <color theme="1"/>
        <rFont val="Times New Roman"/>
        <family val="1"/>
      </rPr>
      <t>2-8-240</t>
    </r>
    <r>
      <rPr>
        <sz val="12"/>
        <color theme="1"/>
        <rFont val="宋体"/>
        <family val="3"/>
        <charset val="134"/>
      </rPr>
      <t>，</t>
    </r>
    <r>
      <rPr>
        <sz val="12"/>
        <color theme="1"/>
        <rFont val="Times New Roman"/>
        <family val="1"/>
      </rPr>
      <t>L=KP</t>
    </r>
    <r>
      <rPr>
        <vertAlign val="subscript"/>
        <sz val="12"/>
        <color theme="1"/>
        <rFont val="Times New Roman"/>
        <family val="1"/>
      </rPr>
      <t>3</t>
    </r>
    <r>
      <rPr>
        <sz val="12"/>
        <color theme="1"/>
        <rFont val="Times New Roman"/>
        <family val="1"/>
      </rPr>
      <t>/(Aγf+SλC) =</t>
    </r>
    <phoneticPr fontId="24" type="noConversion"/>
  </si>
  <si>
    <r>
      <rPr>
        <sz val="12"/>
        <color theme="1"/>
        <rFont val="宋体"/>
        <family val="3"/>
        <charset val="134"/>
      </rPr>
      <t>按式</t>
    </r>
    <r>
      <rPr>
        <sz val="12"/>
        <color theme="1"/>
        <rFont val="Times New Roman"/>
        <family val="1"/>
      </rPr>
      <t>2-8-241</t>
    </r>
    <r>
      <rPr>
        <sz val="12"/>
        <color theme="1"/>
        <rFont val="宋体"/>
        <family val="3"/>
        <charset val="134"/>
      </rPr>
      <t>，</t>
    </r>
    <r>
      <rPr>
        <sz val="12"/>
        <color theme="1"/>
        <rFont val="Times New Roman"/>
        <family val="1"/>
      </rPr>
      <t>L=P</t>
    </r>
    <r>
      <rPr>
        <vertAlign val="subscript"/>
        <sz val="12"/>
        <color theme="1"/>
        <rFont val="Times New Roman"/>
        <family val="1"/>
      </rPr>
      <t>2</t>
    </r>
    <r>
      <rPr>
        <sz val="12"/>
        <color theme="1"/>
        <rFont val="Times New Roman"/>
        <family val="1"/>
      </rPr>
      <t>/(Arf/K</t>
    </r>
    <r>
      <rPr>
        <vertAlign val="subscript"/>
        <sz val="12"/>
        <color theme="1"/>
        <rFont val="Times New Roman"/>
        <family val="1"/>
      </rPr>
      <t>1</t>
    </r>
    <r>
      <rPr>
        <sz val="12"/>
        <color theme="1"/>
        <rFont val="Times New Roman"/>
        <family val="1"/>
      </rPr>
      <t>+SλC/K</t>
    </r>
    <r>
      <rPr>
        <vertAlign val="subscript"/>
        <sz val="12"/>
        <color theme="1"/>
        <rFont val="Times New Roman"/>
        <family val="1"/>
      </rPr>
      <t>2</t>
    </r>
    <r>
      <rPr>
        <sz val="12"/>
        <color theme="1"/>
        <rFont val="Times New Roman"/>
        <family val="1"/>
      </rPr>
      <t>) =</t>
    </r>
    <phoneticPr fontId="24" type="noConversion"/>
  </si>
  <si>
    <r>
      <rPr>
        <sz val="12"/>
        <color theme="1"/>
        <rFont val="宋体"/>
        <family val="3"/>
        <charset val="134"/>
      </rPr>
      <t>率</t>
    </r>
    <r>
      <rPr>
        <sz val="12"/>
        <color rgb="FFFF0000"/>
        <rFont val="宋体"/>
        <family val="3"/>
        <charset val="134"/>
      </rPr>
      <t>P</t>
    </r>
    <r>
      <rPr>
        <vertAlign val="subscript"/>
        <sz val="12"/>
        <color rgb="FFFF0000"/>
        <rFont val="宋体"/>
        <family val="3"/>
        <charset val="134"/>
      </rPr>
      <t>100</t>
    </r>
    <r>
      <rPr>
        <sz val="12"/>
        <color theme="1"/>
        <rFont val="宋体"/>
        <family val="3"/>
        <charset val="134"/>
      </rPr>
      <t>为</t>
    </r>
    <r>
      <rPr>
        <sz val="12"/>
        <color rgb="FFFF0000"/>
        <rFont val="宋体"/>
        <family val="3"/>
        <charset val="134"/>
      </rPr>
      <t>0.02</t>
    </r>
    <r>
      <rPr>
        <sz val="12"/>
        <color theme="1"/>
        <rFont val="宋体"/>
        <family val="3"/>
        <charset val="134"/>
      </rPr>
      <t>（查NB 35047-2015确定，归纳见表5.2.3），相应值为</t>
    </r>
    <r>
      <rPr>
        <sz val="12"/>
        <color rgb="FFFF0000"/>
        <rFont val="宋体"/>
        <family val="3"/>
        <charset val="134"/>
      </rPr>
      <t/>
    </r>
    <phoneticPr fontId="24" type="noConversion"/>
  </si>
  <si>
    <r>
      <t xml:space="preserve">      设计洪水位时堵头顶拱内接三角形形心处挡水水头H</t>
    </r>
    <r>
      <rPr>
        <vertAlign val="subscript"/>
        <sz val="12"/>
        <rFont val="宋体"/>
        <family val="3"/>
        <charset val="134"/>
      </rPr>
      <t>3设</t>
    </r>
    <r>
      <rPr>
        <sz val="12"/>
        <rFont val="宋体"/>
        <family val="3"/>
        <charset val="134"/>
      </rPr>
      <t>=H</t>
    </r>
    <r>
      <rPr>
        <vertAlign val="subscript"/>
        <sz val="12"/>
        <rFont val="宋体"/>
        <family val="3"/>
        <charset val="134"/>
      </rPr>
      <t>2顶</t>
    </r>
    <r>
      <rPr>
        <sz val="12"/>
        <rFont val="宋体"/>
        <family val="3"/>
        <charset val="134"/>
      </rPr>
      <t>-e=</t>
    </r>
    <phoneticPr fontId="24" type="noConversion"/>
  </si>
  <si>
    <r>
      <t xml:space="preserve">      校核洪水位时堵头顶拱内接三角形形心处挡水水头H</t>
    </r>
    <r>
      <rPr>
        <vertAlign val="subscript"/>
        <sz val="12"/>
        <rFont val="宋体"/>
        <family val="3"/>
        <charset val="134"/>
      </rPr>
      <t>3校</t>
    </r>
    <r>
      <rPr>
        <sz val="12"/>
        <rFont val="宋体"/>
        <family val="3"/>
        <charset val="134"/>
      </rPr>
      <t>=H</t>
    </r>
    <r>
      <rPr>
        <vertAlign val="subscript"/>
        <sz val="12"/>
        <rFont val="宋体"/>
        <family val="3"/>
        <charset val="134"/>
      </rPr>
      <t>3顶</t>
    </r>
    <r>
      <rPr>
        <sz val="12"/>
        <rFont val="宋体"/>
        <family val="3"/>
        <charset val="134"/>
      </rPr>
      <t>-e=</t>
    </r>
    <phoneticPr fontId="24" type="noConversion"/>
  </si>
  <si>
    <t>资料联系单）。由于封堵体横断面周边均与围岩接触，地震作用效用的计算模式与重力坝不一样，经</t>
    <phoneticPr fontId="24" type="noConversion"/>
  </si>
  <si>
    <t>分析讨论，可按拟静力法做简化后进行计算作为参考。</t>
    <phoneticPr fontId="24" type="noConversion"/>
  </si>
  <si>
    <r>
      <t>α</t>
    </r>
    <r>
      <rPr>
        <vertAlign val="subscript"/>
        <sz val="12"/>
        <rFont val="宋体"/>
        <family val="3"/>
        <charset val="134"/>
      </rPr>
      <t>i</t>
    </r>
    <r>
      <rPr>
        <sz val="12"/>
        <rFont val="宋体"/>
        <family val="3"/>
        <charset val="134"/>
      </rPr>
      <t>为质点i的地震惯性力动态分布系数，简化后取α</t>
    </r>
    <r>
      <rPr>
        <vertAlign val="subscript"/>
        <sz val="12"/>
        <rFont val="宋体"/>
        <family val="3"/>
        <charset val="134"/>
      </rPr>
      <t>i</t>
    </r>
    <r>
      <rPr>
        <sz val="12"/>
        <rFont val="宋体"/>
        <family val="3"/>
        <charset val="134"/>
      </rPr>
      <t>=</t>
    </r>
    <phoneticPr fontId="24" type="noConversion"/>
  </si>
  <si>
    <t>4.2 堵头长度估算公式</t>
    <phoneticPr fontId="24" type="noConversion"/>
  </si>
  <si>
    <t xml:space="preserve">  4.2 堵头长度估算公式 ………………………………………………………………</t>
    <phoneticPr fontId="24" type="noConversion"/>
  </si>
  <si>
    <r>
      <t xml:space="preserve">2    </t>
    </r>
    <r>
      <rPr>
        <sz val="12"/>
        <rFont val="黑体"/>
        <family val="3"/>
        <charset val="134"/>
      </rPr>
      <t>堵头设计水位值</t>
    </r>
    <r>
      <rPr>
        <sz val="12"/>
        <rFont val="Times New Roman"/>
        <family val="1"/>
      </rPr>
      <t xml:space="preserve"> </t>
    </r>
    <r>
      <rPr>
        <sz val="12"/>
        <rFont val="黑体"/>
        <family val="3"/>
        <charset val="134"/>
      </rPr>
      <t>………………………………………………………………………</t>
    </r>
    <phoneticPr fontId="24" type="noConversion"/>
  </si>
  <si>
    <r>
      <t xml:space="preserve">4  </t>
    </r>
    <r>
      <rPr>
        <sz val="12"/>
        <rFont val="黑体"/>
        <family val="3"/>
        <charset val="134"/>
      </rPr>
      <t xml:space="preserve"> 堵头长度设计…………………………………………………………………………</t>
    </r>
    <phoneticPr fontId="24" type="noConversion"/>
  </si>
  <si>
    <r>
      <t xml:space="preserve">4  </t>
    </r>
    <r>
      <rPr>
        <sz val="12"/>
        <rFont val="黑体"/>
        <family val="3"/>
        <charset val="134"/>
      </rPr>
      <t xml:space="preserve"> 堵头长度设计</t>
    </r>
    <phoneticPr fontId="24" type="noConversion"/>
  </si>
  <si>
    <t>1.2.1 依据</t>
    <phoneticPr fontId="24" type="noConversion"/>
  </si>
  <si>
    <t xml:space="preserve">    1.2.1 依据 …………………………………………………………………………</t>
    <phoneticPr fontId="24" type="noConversion"/>
  </si>
  <si>
    <t xml:space="preserve">    1)孔洞型式：</t>
    <phoneticPr fontId="24" type="noConversion"/>
  </si>
  <si>
    <t xml:space="preserve">    2)堵头封堵体：</t>
    <phoneticPr fontId="24" type="noConversion"/>
  </si>
  <si>
    <t xml:space="preserve">    3)堵头混凝土+原支护联合体：</t>
    <phoneticPr fontId="24" type="noConversion"/>
  </si>
  <si>
    <t xml:space="preserve">      堵头封堵体净宽度b=</t>
    <phoneticPr fontId="24" type="noConversion"/>
  </si>
  <si>
    <t xml:space="preserve">      堵头封堵体净高度a=</t>
    <phoneticPr fontId="24" type="noConversion"/>
  </si>
  <si>
    <t xml:space="preserve">      封堵体顶拱中心角α  =</t>
    <phoneticPr fontId="24" type="noConversion"/>
  </si>
  <si>
    <r>
      <t xml:space="preserve">      封堵体顶拱半径 </t>
    </r>
    <r>
      <rPr>
        <sz val="12"/>
        <color theme="1"/>
        <rFont val="Times New Roman"/>
        <family val="1"/>
      </rPr>
      <t xml:space="preserve"> r =b/(2sin(α/2))=</t>
    </r>
    <phoneticPr fontId="24" type="noConversion"/>
  </si>
  <si>
    <r>
      <rPr>
        <sz val="12"/>
        <color theme="1"/>
        <rFont val="Times New Roman"/>
        <family val="1"/>
      </rPr>
      <t xml:space="preserve"> </t>
    </r>
    <r>
      <rPr>
        <sz val="12"/>
        <color theme="1"/>
        <rFont val="宋体"/>
        <family val="3"/>
        <charset val="134"/>
      </rPr>
      <t xml:space="preserve">      封堵体顶拱高度</t>
    </r>
    <r>
      <rPr>
        <sz val="12"/>
        <color theme="1"/>
        <rFont val="Times New Roman"/>
        <family val="1"/>
      </rPr>
      <t xml:space="preserve"> h</t>
    </r>
    <r>
      <rPr>
        <vertAlign val="subscript"/>
        <sz val="12"/>
        <color theme="1"/>
        <rFont val="Times New Roman"/>
        <family val="1"/>
      </rPr>
      <t>1</t>
    </r>
    <r>
      <rPr>
        <sz val="12"/>
        <color theme="1"/>
        <rFont val="Times New Roman"/>
        <family val="1"/>
      </rPr>
      <t>=r-rcos(α/2)=</t>
    </r>
    <phoneticPr fontId="24" type="noConversion"/>
  </si>
  <si>
    <r>
      <rPr>
        <sz val="12"/>
        <color theme="1"/>
        <rFont val="Times New Roman"/>
        <family val="1"/>
      </rPr>
      <t xml:space="preserve">  </t>
    </r>
    <r>
      <rPr>
        <sz val="12"/>
        <color theme="1"/>
        <rFont val="宋体"/>
        <family val="3"/>
        <charset val="134"/>
      </rPr>
      <t xml:space="preserve">     封堵体直墙高度</t>
    </r>
    <r>
      <rPr>
        <sz val="12"/>
        <color theme="1"/>
        <rFont val="Times New Roman"/>
        <family val="1"/>
      </rPr>
      <t xml:space="preserve"> h</t>
    </r>
    <r>
      <rPr>
        <vertAlign val="subscript"/>
        <sz val="12"/>
        <color theme="1"/>
        <rFont val="Times New Roman"/>
        <family val="1"/>
      </rPr>
      <t>2</t>
    </r>
    <r>
      <rPr>
        <sz val="12"/>
        <color theme="1"/>
        <rFont val="Times New Roman"/>
        <family val="1"/>
      </rPr>
      <t>=a-h</t>
    </r>
    <r>
      <rPr>
        <vertAlign val="subscript"/>
        <sz val="12"/>
        <color theme="1"/>
        <rFont val="Times New Roman"/>
        <family val="1"/>
      </rPr>
      <t>1</t>
    </r>
    <r>
      <rPr>
        <sz val="12"/>
        <color theme="1"/>
        <rFont val="Times New Roman"/>
        <family val="1"/>
      </rPr>
      <t>=</t>
    </r>
    <phoneticPr fontId="24" type="noConversion"/>
  </si>
  <si>
    <r>
      <t xml:space="preserve">      封堵体顶拱长</t>
    </r>
    <r>
      <rPr>
        <sz val="12"/>
        <color theme="1"/>
        <rFont val="Times New Roman"/>
        <family val="1"/>
      </rPr>
      <t>l=2παr/360=</t>
    </r>
    <phoneticPr fontId="24" type="noConversion"/>
  </si>
  <si>
    <r>
      <t xml:space="preserve">      封堵体净面积ω=bh</t>
    </r>
    <r>
      <rPr>
        <vertAlign val="subscript"/>
        <sz val="12"/>
        <rFont val="宋体"/>
        <family val="3"/>
        <charset val="134"/>
      </rPr>
      <t>2</t>
    </r>
    <r>
      <rPr>
        <sz val="12"/>
        <rFont val="宋体"/>
        <family val="3"/>
        <charset val="134"/>
      </rPr>
      <t>+πr</t>
    </r>
    <r>
      <rPr>
        <vertAlign val="superscript"/>
        <sz val="12"/>
        <rFont val="宋体"/>
        <family val="3"/>
        <charset val="134"/>
      </rPr>
      <t>2</t>
    </r>
    <r>
      <rPr>
        <sz val="12"/>
        <rFont val="宋体"/>
        <family val="3"/>
        <charset val="134"/>
      </rPr>
      <t>(α/360)-b(r-h</t>
    </r>
    <r>
      <rPr>
        <vertAlign val="subscript"/>
        <sz val="12"/>
        <rFont val="宋体"/>
        <family val="3"/>
        <charset val="134"/>
      </rPr>
      <t>1</t>
    </r>
    <r>
      <rPr>
        <sz val="12"/>
        <rFont val="宋体"/>
        <family val="3"/>
        <charset val="134"/>
      </rPr>
      <t>)/2=</t>
    </r>
    <phoneticPr fontId="24" type="noConversion"/>
  </si>
  <si>
    <t xml:space="preserve">      堵头联合体净宽度b=</t>
    <phoneticPr fontId="24" type="noConversion"/>
  </si>
  <si>
    <t xml:space="preserve">      堵头联合体净高度a=</t>
    <phoneticPr fontId="24" type="noConversion"/>
  </si>
  <si>
    <r>
      <rPr>
        <sz val="12"/>
        <color theme="1"/>
        <rFont val="Times New Roman"/>
        <family val="1"/>
      </rPr>
      <t xml:space="preserve"> </t>
    </r>
    <r>
      <rPr>
        <sz val="12"/>
        <color theme="1"/>
        <rFont val="宋体"/>
        <family val="3"/>
        <charset val="134"/>
      </rPr>
      <t xml:space="preserve">      封堵联合体顶拱高度</t>
    </r>
    <r>
      <rPr>
        <sz val="12"/>
        <color theme="1"/>
        <rFont val="Times New Roman"/>
        <family val="1"/>
      </rPr>
      <t xml:space="preserve"> h</t>
    </r>
    <r>
      <rPr>
        <vertAlign val="subscript"/>
        <sz val="12"/>
        <color theme="1"/>
        <rFont val="Times New Roman"/>
        <family val="1"/>
      </rPr>
      <t>1</t>
    </r>
    <r>
      <rPr>
        <sz val="12"/>
        <color theme="1"/>
        <rFont val="Times New Roman"/>
        <family val="1"/>
      </rPr>
      <t>=r-rcos(α/2)=</t>
    </r>
    <phoneticPr fontId="24" type="noConversion"/>
  </si>
  <si>
    <r>
      <rPr>
        <sz val="12"/>
        <color theme="1"/>
        <rFont val="Times New Roman"/>
        <family val="1"/>
      </rPr>
      <t xml:space="preserve">  </t>
    </r>
    <r>
      <rPr>
        <sz val="12"/>
        <color theme="1"/>
        <rFont val="宋体"/>
        <family val="3"/>
        <charset val="134"/>
      </rPr>
      <t xml:space="preserve">     封堵联合体直墙高度</t>
    </r>
    <r>
      <rPr>
        <sz val="12"/>
        <color theme="1"/>
        <rFont val="Times New Roman"/>
        <family val="1"/>
      </rPr>
      <t xml:space="preserve"> h</t>
    </r>
    <r>
      <rPr>
        <vertAlign val="subscript"/>
        <sz val="12"/>
        <color theme="1"/>
        <rFont val="Times New Roman"/>
        <family val="1"/>
      </rPr>
      <t>2</t>
    </r>
    <r>
      <rPr>
        <sz val="12"/>
        <color theme="1"/>
        <rFont val="Times New Roman"/>
        <family val="1"/>
      </rPr>
      <t>=a-h</t>
    </r>
    <r>
      <rPr>
        <vertAlign val="subscript"/>
        <sz val="12"/>
        <color theme="1"/>
        <rFont val="Times New Roman"/>
        <family val="1"/>
      </rPr>
      <t>1</t>
    </r>
    <r>
      <rPr>
        <sz val="12"/>
        <color theme="1"/>
        <rFont val="Times New Roman"/>
        <family val="1"/>
      </rPr>
      <t>=</t>
    </r>
    <phoneticPr fontId="24" type="noConversion"/>
  </si>
  <si>
    <r>
      <t xml:space="preserve">      封堵联合体顶拱长</t>
    </r>
    <r>
      <rPr>
        <sz val="12"/>
        <color theme="1"/>
        <rFont val="Times New Roman"/>
        <family val="1"/>
      </rPr>
      <t>l=2παr/360=</t>
    </r>
    <phoneticPr fontId="24" type="noConversion"/>
  </si>
  <si>
    <r>
      <t xml:space="preserve">      封堵联合体净面积ω=bh</t>
    </r>
    <r>
      <rPr>
        <vertAlign val="subscript"/>
        <sz val="12"/>
        <rFont val="宋体"/>
        <family val="3"/>
        <charset val="134"/>
      </rPr>
      <t>2</t>
    </r>
    <r>
      <rPr>
        <sz val="12"/>
        <rFont val="宋体"/>
        <family val="3"/>
        <charset val="134"/>
      </rPr>
      <t>+πr</t>
    </r>
    <r>
      <rPr>
        <vertAlign val="superscript"/>
        <sz val="12"/>
        <rFont val="宋体"/>
        <family val="3"/>
        <charset val="134"/>
      </rPr>
      <t>2</t>
    </r>
    <r>
      <rPr>
        <sz val="12"/>
        <rFont val="宋体"/>
        <family val="3"/>
        <charset val="134"/>
      </rPr>
      <t>(α/360)-b(r-h</t>
    </r>
    <r>
      <rPr>
        <vertAlign val="subscript"/>
        <sz val="12"/>
        <rFont val="宋体"/>
        <family val="3"/>
        <charset val="134"/>
      </rPr>
      <t>1</t>
    </r>
    <r>
      <rPr>
        <sz val="12"/>
        <rFont val="宋体"/>
        <family val="3"/>
        <charset val="134"/>
      </rPr>
      <t>)/2=</t>
    </r>
    <phoneticPr fontId="24" type="noConversion"/>
  </si>
  <si>
    <t>4.3.1 堵头封堵体</t>
    <phoneticPr fontId="24" type="noConversion"/>
  </si>
  <si>
    <t>4.3.2 堵头混凝土+原支护联合体</t>
    <phoneticPr fontId="24" type="noConversion"/>
  </si>
  <si>
    <t>4.4.1 堵头封堵体</t>
    <phoneticPr fontId="24" type="noConversion"/>
  </si>
  <si>
    <t>4.4.2 堵头混凝土+原支护联合体</t>
    <phoneticPr fontId="24" type="noConversion"/>
  </si>
  <si>
    <t>A</t>
    <phoneticPr fontId="24" type="noConversion"/>
  </si>
  <si>
    <t>f</t>
    <phoneticPr fontId="24" type="noConversion"/>
  </si>
  <si>
    <t>C</t>
    <phoneticPr fontId="24" type="noConversion"/>
  </si>
  <si>
    <t>堵头混凝土与原衬砌混凝土接触面</t>
  </si>
  <si>
    <t>堵头混凝土+原支护与基岩接触面</t>
  </si>
  <si>
    <r>
      <t>f</t>
    </r>
    <r>
      <rPr>
        <sz val="12"/>
        <rFont val="宋体"/>
        <family val="3"/>
        <charset val="134"/>
      </rPr>
      <t>：计算接触面的摩擦系数；</t>
    </r>
    <phoneticPr fontId="24" type="noConversion"/>
  </si>
  <si>
    <t>项目</t>
    <phoneticPr fontId="24" type="noConversion"/>
  </si>
  <si>
    <t>单位</t>
    <phoneticPr fontId="24" type="noConversion"/>
  </si>
  <si>
    <t>2倍堵头长L</t>
    <phoneticPr fontId="24" type="noConversion"/>
  </si>
  <si>
    <t>3倍堵头长L</t>
    <phoneticPr fontId="24" type="noConversion"/>
  </si>
  <si>
    <t>R</t>
    <phoneticPr fontId="24" type="noConversion"/>
  </si>
  <si>
    <r>
      <t>C</t>
    </r>
    <r>
      <rPr>
        <sz val="12"/>
        <rFont val="宋体"/>
        <family val="3"/>
        <charset val="134"/>
      </rPr>
      <t>：计算接触面的抗剪断凝聚力。</t>
    </r>
    <phoneticPr fontId="24" type="noConversion"/>
  </si>
  <si>
    <t>5.2.1 堵头混凝土与原衬砌接触面</t>
    <phoneticPr fontId="24" type="noConversion"/>
  </si>
  <si>
    <t>5.2.1.1 设计洪水位工况</t>
    <phoneticPr fontId="24" type="noConversion"/>
  </si>
  <si>
    <t>5.2.2 堵头混凝土+原支护与基岩接触面</t>
    <phoneticPr fontId="24" type="noConversion"/>
  </si>
  <si>
    <t>5.2.2.1 设计洪水位工况</t>
    <phoneticPr fontId="24" type="noConversion"/>
  </si>
  <si>
    <t>5.2.2.2 校核洪水位工况</t>
    <phoneticPr fontId="24" type="noConversion"/>
  </si>
  <si>
    <t>5.2.2.3 正常蓄水位+地震工况</t>
    <phoneticPr fontId="24" type="noConversion"/>
  </si>
  <si>
    <t>5.2.1.2 校核洪水位工况</t>
    <phoneticPr fontId="24" type="noConversion"/>
  </si>
  <si>
    <t>5.2.1.3 正常蓄水位+地震工况</t>
    <phoneticPr fontId="24" type="noConversion"/>
  </si>
  <si>
    <t xml:space="preserve">   计算结果见表1.4-1及表1.4-2。</t>
    <phoneticPr fontId="24" type="noConversion"/>
  </si>
  <si>
    <r>
      <t xml:space="preserve">   堵头混凝土与原混凝土衬砌接触面抗剪断粘聚力c</t>
    </r>
    <r>
      <rPr>
        <vertAlign val="subscript"/>
        <sz val="12"/>
        <color theme="1"/>
        <rFont val="宋体"/>
        <family val="3"/>
        <charset val="134"/>
      </rPr>
      <t>R1</t>
    </r>
    <r>
      <rPr>
        <sz val="12"/>
        <color theme="1"/>
        <rFont val="宋体"/>
        <family val="3"/>
        <charset val="134"/>
      </rPr>
      <t>'=</t>
    </r>
    <phoneticPr fontId="24" type="noConversion"/>
  </si>
  <si>
    <r>
      <t xml:space="preserve">   堵头混凝土+原支护与基岩接触面抗剪断摩擦系数f</t>
    </r>
    <r>
      <rPr>
        <vertAlign val="subscript"/>
        <sz val="12"/>
        <color theme="1"/>
        <rFont val="宋体"/>
        <family val="3"/>
        <charset val="134"/>
      </rPr>
      <t>R1</t>
    </r>
    <r>
      <rPr>
        <sz val="12"/>
        <color theme="1"/>
        <rFont val="宋体"/>
        <family val="3"/>
        <charset val="134"/>
      </rPr>
      <t>'=</t>
    </r>
    <phoneticPr fontId="24" type="noConversion"/>
  </si>
  <si>
    <r>
      <t xml:space="preserve">   堵头混凝土+原支护与基岩接触面抗剪断粘聚力c</t>
    </r>
    <r>
      <rPr>
        <vertAlign val="subscript"/>
        <sz val="12"/>
        <color theme="1"/>
        <rFont val="宋体"/>
        <family val="3"/>
        <charset val="134"/>
      </rPr>
      <t>R1</t>
    </r>
    <r>
      <rPr>
        <sz val="12"/>
        <color theme="1"/>
        <rFont val="宋体"/>
        <family val="3"/>
        <charset val="134"/>
      </rPr>
      <t>'=</t>
    </r>
    <phoneticPr fontId="24" type="noConversion"/>
  </si>
  <si>
    <r>
      <t xml:space="preserve">   堵头混凝土与原衬砌混凝土接触面抗剪断摩擦系数f</t>
    </r>
    <r>
      <rPr>
        <vertAlign val="subscript"/>
        <sz val="12"/>
        <color theme="1"/>
        <rFont val="宋体"/>
        <family val="3"/>
        <charset val="134"/>
      </rPr>
      <t>R1</t>
    </r>
    <r>
      <rPr>
        <sz val="12"/>
        <color theme="1"/>
        <rFont val="宋体"/>
        <family val="3"/>
        <charset val="134"/>
      </rPr>
      <t>'=</t>
    </r>
    <phoneticPr fontId="24" type="noConversion"/>
  </si>
  <si>
    <t>5.2 堵头抗滑稳定复核</t>
    <phoneticPr fontId="24" type="noConversion"/>
  </si>
  <si>
    <r>
      <rPr>
        <sz val="12"/>
        <color theme="1"/>
        <rFont val="宋体"/>
        <family val="3"/>
        <charset val="134"/>
      </rPr>
      <t>率</t>
    </r>
    <r>
      <rPr>
        <sz val="12"/>
        <color rgb="FFFF0000"/>
        <rFont val="宋体"/>
        <family val="3"/>
        <charset val="134"/>
      </rPr>
      <t>P</t>
    </r>
    <r>
      <rPr>
        <vertAlign val="subscript"/>
        <sz val="12"/>
        <color rgb="FFFF0000"/>
        <rFont val="宋体"/>
        <family val="3"/>
        <charset val="134"/>
      </rPr>
      <t>100</t>
    </r>
    <r>
      <rPr>
        <sz val="12"/>
        <color theme="1"/>
        <rFont val="宋体"/>
        <family val="3"/>
        <charset val="134"/>
      </rPr>
      <t>为</t>
    </r>
    <r>
      <rPr>
        <sz val="12"/>
        <color rgb="FFFF0000"/>
        <rFont val="宋体"/>
        <family val="3"/>
        <charset val="134"/>
      </rPr>
      <t>0.02</t>
    </r>
    <r>
      <rPr>
        <sz val="12"/>
        <color theme="1"/>
        <rFont val="宋体"/>
        <family val="3"/>
        <charset val="134"/>
      </rPr>
      <t>（查NB 35047-2015确定，归纳见表5.2.1），相应值为</t>
    </r>
    <r>
      <rPr>
        <sz val="12"/>
        <color rgb="FFFF0000"/>
        <rFont val="宋体"/>
        <family val="3"/>
        <charset val="134"/>
      </rPr>
      <t/>
    </r>
    <phoneticPr fontId="24" type="noConversion"/>
  </si>
  <si>
    <t xml:space="preserve">    5.2.1 堵头混凝土与原衬砌接触面</t>
    <phoneticPr fontId="24" type="noConversion"/>
  </si>
  <si>
    <t xml:space="preserve">    5.2.2 堵头混凝土+原支护与基岩接触面</t>
    <phoneticPr fontId="24" type="noConversion"/>
  </si>
  <si>
    <t xml:space="preserve">      5.2.1.1 设计洪水位工况 ………………………………………………………</t>
    <phoneticPr fontId="24" type="noConversion"/>
  </si>
  <si>
    <t xml:space="preserve">      5.2.1.2 校核洪水位工况 ………………………………………………………</t>
    <phoneticPr fontId="24" type="noConversion"/>
  </si>
  <si>
    <t xml:space="preserve">      5.2.1.3 正常蓄水位+地震工况…………………………………………………</t>
    <phoneticPr fontId="24" type="noConversion"/>
  </si>
  <si>
    <t xml:space="preserve">      5.2.2.1 设计洪水位工况 ………………………………………………………</t>
    <phoneticPr fontId="24" type="noConversion"/>
  </si>
  <si>
    <t xml:space="preserve">      5.2.2.2 校核洪水位工况 ………………………………………………………</t>
    <phoneticPr fontId="24" type="noConversion"/>
  </si>
  <si>
    <t xml:space="preserve">      5.2.2.3 正常蓄水位+地震工况…………………………………………………</t>
    <phoneticPr fontId="24" type="noConversion"/>
  </si>
  <si>
    <t xml:space="preserve">    4.3.1 堵头封堵体  …………………………………………………… …………</t>
    <phoneticPr fontId="24" type="noConversion"/>
  </si>
  <si>
    <t xml:space="preserve">    4.3.2 堵头混凝土+原支护联合体  ………………………………………………</t>
    <phoneticPr fontId="24" type="noConversion"/>
  </si>
  <si>
    <t xml:space="preserve">    4.4.1 堵头封堵体  …………………………………………………… …………</t>
    <phoneticPr fontId="24" type="noConversion"/>
  </si>
  <si>
    <t xml:space="preserve">    4.4.2 堵头混凝土+原支护联合体  ………………………………………………</t>
    <phoneticPr fontId="24" type="noConversion"/>
  </si>
  <si>
    <r>
      <t xml:space="preserve">         堵头混凝土与原衬砌接触面抗剪断摩擦系数材料性能分项系数f</t>
    </r>
    <r>
      <rPr>
        <vertAlign val="subscript"/>
        <sz val="12"/>
        <color theme="1"/>
        <rFont val="宋体"/>
        <family val="3"/>
        <charset val="134"/>
      </rPr>
      <t>RKd</t>
    </r>
    <r>
      <rPr>
        <sz val="12"/>
        <color theme="1"/>
        <rFont val="宋体"/>
        <family val="3"/>
        <charset val="134"/>
      </rPr>
      <t>=</t>
    </r>
    <phoneticPr fontId="24" type="noConversion"/>
  </si>
  <si>
    <r>
      <t xml:space="preserve">         堵头混凝土与原衬砌接触面抗剪断粘聚力材料性能分项系c</t>
    </r>
    <r>
      <rPr>
        <vertAlign val="subscript"/>
        <sz val="12"/>
        <color theme="1"/>
        <rFont val="宋体"/>
        <family val="3"/>
        <charset val="134"/>
      </rPr>
      <t>RKd</t>
    </r>
    <r>
      <rPr>
        <sz val="12"/>
        <color theme="1"/>
        <rFont val="宋体"/>
        <family val="3"/>
        <charset val="134"/>
      </rPr>
      <t>=</t>
    </r>
    <phoneticPr fontId="24" type="noConversion"/>
  </si>
  <si>
    <r>
      <t xml:space="preserve">         堵头混凝土+原支护与基岩接触面抗剪断摩擦系数材料性能分项系数f</t>
    </r>
    <r>
      <rPr>
        <vertAlign val="subscript"/>
        <sz val="12"/>
        <color theme="1"/>
        <rFont val="宋体"/>
        <family val="3"/>
        <charset val="134"/>
      </rPr>
      <t>RKd</t>
    </r>
    <r>
      <rPr>
        <sz val="12"/>
        <color theme="1"/>
        <rFont val="宋体"/>
        <family val="3"/>
        <charset val="134"/>
      </rPr>
      <t>=</t>
    </r>
    <phoneticPr fontId="24" type="noConversion"/>
  </si>
  <si>
    <r>
      <t xml:space="preserve">         堵头混凝土+原支护与基岩接触面抗剪断粘聚力材料性能分项系c</t>
    </r>
    <r>
      <rPr>
        <vertAlign val="subscript"/>
        <sz val="12"/>
        <color theme="1"/>
        <rFont val="宋体"/>
        <family val="3"/>
        <charset val="134"/>
      </rPr>
      <t>RKd</t>
    </r>
    <r>
      <rPr>
        <sz val="12"/>
        <color theme="1"/>
        <rFont val="宋体"/>
        <family val="3"/>
        <charset val="134"/>
      </rPr>
      <t>=</t>
    </r>
    <phoneticPr fontId="24" type="noConversion"/>
  </si>
  <si>
    <r>
      <t xml:space="preserve">    堵头混凝土与原衬砌接触面抗剪断摩擦系数f</t>
    </r>
    <r>
      <rPr>
        <vertAlign val="subscript"/>
        <sz val="12"/>
        <color theme="1"/>
        <rFont val="宋体"/>
        <family val="3"/>
        <charset val="134"/>
      </rPr>
      <t>R</t>
    </r>
    <r>
      <rPr>
        <sz val="12"/>
        <color theme="1"/>
        <rFont val="宋体"/>
        <family val="3"/>
        <charset val="134"/>
      </rPr>
      <t>'=f</t>
    </r>
    <r>
      <rPr>
        <vertAlign val="subscript"/>
        <sz val="12"/>
        <color theme="1"/>
        <rFont val="宋体"/>
        <family val="3"/>
        <charset val="134"/>
      </rPr>
      <t>R1</t>
    </r>
    <r>
      <rPr>
        <sz val="12"/>
        <color theme="1"/>
        <rFont val="宋体"/>
        <family val="3"/>
        <charset val="134"/>
      </rPr>
      <t>'/f</t>
    </r>
    <r>
      <rPr>
        <vertAlign val="subscript"/>
        <sz val="12"/>
        <color theme="1"/>
        <rFont val="宋体"/>
        <family val="3"/>
        <charset val="134"/>
      </rPr>
      <t>RKd</t>
    </r>
    <r>
      <rPr>
        <sz val="12"/>
        <color theme="1"/>
        <rFont val="宋体"/>
        <family val="3"/>
        <charset val="134"/>
      </rPr>
      <t>=</t>
    </r>
    <phoneticPr fontId="24" type="noConversion"/>
  </si>
  <si>
    <r>
      <t xml:space="preserve">    堵头混凝土与原衬砌接触面抗剪断粘聚力c</t>
    </r>
    <r>
      <rPr>
        <vertAlign val="subscript"/>
        <sz val="12"/>
        <color theme="1"/>
        <rFont val="宋体"/>
        <family val="3"/>
        <charset val="134"/>
      </rPr>
      <t>R</t>
    </r>
    <r>
      <rPr>
        <sz val="12"/>
        <color theme="1"/>
        <rFont val="宋体"/>
        <family val="3"/>
        <charset val="134"/>
      </rPr>
      <t>'=c</t>
    </r>
    <r>
      <rPr>
        <vertAlign val="subscript"/>
        <sz val="12"/>
        <color theme="1"/>
        <rFont val="宋体"/>
        <family val="3"/>
        <charset val="134"/>
      </rPr>
      <t>R1</t>
    </r>
    <r>
      <rPr>
        <sz val="12"/>
        <color theme="1"/>
        <rFont val="宋体"/>
        <family val="3"/>
        <charset val="134"/>
      </rPr>
      <t>'/c</t>
    </r>
    <r>
      <rPr>
        <vertAlign val="subscript"/>
        <sz val="12"/>
        <color theme="1"/>
        <rFont val="宋体"/>
        <family val="3"/>
        <charset val="134"/>
      </rPr>
      <t>RKd</t>
    </r>
    <r>
      <rPr>
        <sz val="12"/>
        <color theme="1"/>
        <rFont val="宋体"/>
        <family val="3"/>
        <charset val="134"/>
      </rPr>
      <t>=</t>
    </r>
    <phoneticPr fontId="24" type="noConversion"/>
  </si>
  <si>
    <r>
      <t xml:space="preserve">    堵头混凝土与原衬砌接触面抗剪断摩擦系数f</t>
    </r>
    <r>
      <rPr>
        <vertAlign val="subscript"/>
        <sz val="12"/>
        <color theme="1"/>
        <rFont val="宋体"/>
        <family val="3"/>
        <charset val="134"/>
      </rPr>
      <t>R</t>
    </r>
    <r>
      <rPr>
        <sz val="12"/>
        <color theme="1"/>
        <rFont val="宋体"/>
        <family val="3"/>
        <charset val="134"/>
      </rPr>
      <t>'=f</t>
    </r>
    <r>
      <rPr>
        <vertAlign val="subscript"/>
        <sz val="12"/>
        <color theme="1"/>
        <rFont val="宋体"/>
        <family val="3"/>
        <charset val="134"/>
      </rPr>
      <t>R1</t>
    </r>
    <r>
      <rPr>
        <sz val="12"/>
        <color theme="1"/>
        <rFont val="宋体"/>
        <family val="3"/>
        <charset val="134"/>
      </rPr>
      <t>'/f</t>
    </r>
    <r>
      <rPr>
        <vertAlign val="subscript"/>
        <sz val="12"/>
        <color theme="1"/>
        <rFont val="宋体"/>
        <family val="3"/>
        <charset val="134"/>
      </rPr>
      <t>RK</t>
    </r>
    <r>
      <rPr>
        <sz val="12"/>
        <color theme="1"/>
        <rFont val="宋体"/>
        <family val="3"/>
        <charset val="134"/>
      </rPr>
      <t>=</t>
    </r>
    <phoneticPr fontId="24" type="noConversion"/>
  </si>
  <si>
    <r>
      <t xml:space="preserve">    堵头混凝土与原衬砌接触面抗剪断粘聚力c</t>
    </r>
    <r>
      <rPr>
        <vertAlign val="subscript"/>
        <sz val="12"/>
        <color theme="1"/>
        <rFont val="宋体"/>
        <family val="3"/>
        <charset val="134"/>
      </rPr>
      <t>R</t>
    </r>
    <r>
      <rPr>
        <sz val="12"/>
        <color theme="1"/>
        <rFont val="宋体"/>
        <family val="3"/>
        <charset val="134"/>
      </rPr>
      <t>'=c</t>
    </r>
    <r>
      <rPr>
        <vertAlign val="subscript"/>
        <sz val="12"/>
        <color theme="1"/>
        <rFont val="宋体"/>
        <family val="3"/>
        <charset val="134"/>
      </rPr>
      <t>R1</t>
    </r>
    <r>
      <rPr>
        <sz val="12"/>
        <color theme="1"/>
        <rFont val="宋体"/>
        <family val="3"/>
        <charset val="134"/>
      </rPr>
      <t>'/c</t>
    </r>
    <r>
      <rPr>
        <vertAlign val="subscript"/>
        <sz val="12"/>
        <color theme="1"/>
        <rFont val="宋体"/>
        <family val="3"/>
        <charset val="134"/>
      </rPr>
      <t>RK</t>
    </r>
    <r>
      <rPr>
        <sz val="12"/>
        <color theme="1"/>
        <rFont val="宋体"/>
        <family val="3"/>
        <charset val="134"/>
      </rPr>
      <t>=</t>
    </r>
    <phoneticPr fontId="24" type="noConversion"/>
  </si>
  <si>
    <r>
      <t xml:space="preserve">    堵头混凝土+原支护与基岩接触面抗剪断摩擦系数f</t>
    </r>
    <r>
      <rPr>
        <vertAlign val="subscript"/>
        <sz val="12"/>
        <color theme="1"/>
        <rFont val="宋体"/>
        <family val="3"/>
        <charset val="134"/>
      </rPr>
      <t>R</t>
    </r>
    <r>
      <rPr>
        <sz val="12"/>
        <color theme="1"/>
        <rFont val="宋体"/>
        <family val="3"/>
        <charset val="134"/>
      </rPr>
      <t>'=f</t>
    </r>
    <r>
      <rPr>
        <vertAlign val="subscript"/>
        <sz val="12"/>
        <color theme="1"/>
        <rFont val="宋体"/>
        <family val="3"/>
        <charset val="134"/>
      </rPr>
      <t>R1</t>
    </r>
    <r>
      <rPr>
        <sz val="12"/>
        <color theme="1"/>
        <rFont val="宋体"/>
        <family val="3"/>
        <charset val="134"/>
      </rPr>
      <t>'/f</t>
    </r>
    <r>
      <rPr>
        <vertAlign val="subscript"/>
        <sz val="12"/>
        <color theme="1"/>
        <rFont val="宋体"/>
        <family val="3"/>
        <charset val="134"/>
      </rPr>
      <t>RK</t>
    </r>
    <r>
      <rPr>
        <sz val="12"/>
        <color theme="1"/>
        <rFont val="宋体"/>
        <family val="3"/>
        <charset val="134"/>
      </rPr>
      <t>=</t>
    </r>
    <phoneticPr fontId="24" type="noConversion"/>
  </si>
  <si>
    <r>
      <t xml:space="preserve">    堵头混凝土+原支护与基岩接触面抗剪断粘聚力c</t>
    </r>
    <r>
      <rPr>
        <vertAlign val="subscript"/>
        <sz val="12"/>
        <color theme="1"/>
        <rFont val="宋体"/>
        <family val="3"/>
        <charset val="134"/>
      </rPr>
      <t>R</t>
    </r>
    <r>
      <rPr>
        <sz val="12"/>
        <color theme="1"/>
        <rFont val="宋体"/>
        <family val="3"/>
        <charset val="134"/>
      </rPr>
      <t>'=c</t>
    </r>
    <r>
      <rPr>
        <vertAlign val="subscript"/>
        <sz val="12"/>
        <color theme="1"/>
        <rFont val="宋体"/>
        <family val="3"/>
        <charset val="134"/>
      </rPr>
      <t>R1</t>
    </r>
    <r>
      <rPr>
        <sz val="12"/>
        <color theme="1"/>
        <rFont val="宋体"/>
        <family val="3"/>
        <charset val="134"/>
      </rPr>
      <t>'/c</t>
    </r>
    <r>
      <rPr>
        <vertAlign val="subscript"/>
        <sz val="12"/>
        <color theme="1"/>
        <rFont val="宋体"/>
        <family val="3"/>
        <charset val="134"/>
      </rPr>
      <t>RK</t>
    </r>
    <r>
      <rPr>
        <sz val="12"/>
        <color theme="1"/>
        <rFont val="宋体"/>
        <family val="3"/>
        <charset val="134"/>
      </rPr>
      <t>=</t>
    </r>
    <phoneticPr fontId="24" type="noConversion"/>
  </si>
  <si>
    <r>
      <t xml:space="preserve">    堵头混凝土+原支护与基岩接触面抗剪断摩擦系数f</t>
    </r>
    <r>
      <rPr>
        <vertAlign val="subscript"/>
        <sz val="12"/>
        <color theme="1"/>
        <rFont val="宋体"/>
        <family val="3"/>
        <charset val="134"/>
      </rPr>
      <t>R</t>
    </r>
    <r>
      <rPr>
        <sz val="12"/>
        <color theme="1"/>
        <rFont val="宋体"/>
        <family val="3"/>
        <charset val="134"/>
      </rPr>
      <t>'=f</t>
    </r>
    <r>
      <rPr>
        <vertAlign val="subscript"/>
        <sz val="12"/>
        <color theme="1"/>
        <rFont val="宋体"/>
        <family val="3"/>
        <charset val="134"/>
      </rPr>
      <t>R1</t>
    </r>
    <r>
      <rPr>
        <sz val="12"/>
        <color theme="1"/>
        <rFont val="宋体"/>
        <family val="3"/>
        <charset val="134"/>
      </rPr>
      <t>'/f</t>
    </r>
    <r>
      <rPr>
        <vertAlign val="subscript"/>
        <sz val="12"/>
        <color theme="1"/>
        <rFont val="宋体"/>
        <family val="3"/>
        <charset val="134"/>
      </rPr>
      <t>RKd</t>
    </r>
    <r>
      <rPr>
        <sz val="12"/>
        <color theme="1"/>
        <rFont val="宋体"/>
        <family val="3"/>
        <charset val="134"/>
      </rPr>
      <t>=</t>
    </r>
    <phoneticPr fontId="24" type="noConversion"/>
  </si>
  <si>
    <r>
      <t xml:space="preserve">    堵头混凝土+原支护与基岩接触面抗剪断粘聚力c</t>
    </r>
    <r>
      <rPr>
        <vertAlign val="subscript"/>
        <sz val="12"/>
        <color theme="1"/>
        <rFont val="宋体"/>
        <family val="3"/>
        <charset val="134"/>
      </rPr>
      <t>R</t>
    </r>
    <r>
      <rPr>
        <sz val="12"/>
        <color theme="1"/>
        <rFont val="宋体"/>
        <family val="3"/>
        <charset val="134"/>
      </rPr>
      <t>'=c</t>
    </r>
    <r>
      <rPr>
        <vertAlign val="subscript"/>
        <sz val="12"/>
        <color theme="1"/>
        <rFont val="宋体"/>
        <family val="3"/>
        <charset val="134"/>
      </rPr>
      <t>R1</t>
    </r>
    <r>
      <rPr>
        <sz val="12"/>
        <color theme="1"/>
        <rFont val="宋体"/>
        <family val="3"/>
        <charset val="134"/>
      </rPr>
      <t>'/c</t>
    </r>
    <r>
      <rPr>
        <vertAlign val="subscript"/>
        <sz val="12"/>
        <color theme="1"/>
        <rFont val="宋体"/>
        <family val="3"/>
        <charset val="134"/>
      </rPr>
      <t>RKd</t>
    </r>
    <r>
      <rPr>
        <sz val="12"/>
        <color theme="1"/>
        <rFont val="宋体"/>
        <family val="3"/>
        <charset val="134"/>
      </rPr>
      <t>=</t>
    </r>
    <phoneticPr fontId="24" type="noConversion"/>
  </si>
  <si>
    <r>
      <t xml:space="preserve">         堵头混凝土与原衬砌接触面抗剪断摩擦系数材料性能分项系数f</t>
    </r>
    <r>
      <rPr>
        <vertAlign val="subscript"/>
        <sz val="12"/>
        <color theme="1"/>
        <rFont val="宋体"/>
        <family val="3"/>
        <charset val="134"/>
      </rPr>
      <t>RK</t>
    </r>
    <r>
      <rPr>
        <sz val="12"/>
        <color theme="1"/>
        <rFont val="宋体"/>
        <family val="3"/>
        <charset val="134"/>
      </rPr>
      <t>=</t>
    </r>
    <phoneticPr fontId="24" type="noConversion"/>
  </si>
  <si>
    <r>
      <t xml:space="preserve">         堵头混凝土与原衬砌接触面抗剪断粘聚力材料性能分项系c</t>
    </r>
    <r>
      <rPr>
        <vertAlign val="subscript"/>
        <sz val="12"/>
        <color theme="1"/>
        <rFont val="宋体"/>
        <family val="3"/>
        <charset val="134"/>
      </rPr>
      <t>RK</t>
    </r>
    <r>
      <rPr>
        <sz val="12"/>
        <color theme="1"/>
        <rFont val="宋体"/>
        <family val="3"/>
        <charset val="134"/>
      </rPr>
      <t>=</t>
    </r>
    <phoneticPr fontId="24" type="noConversion"/>
  </si>
  <si>
    <r>
      <t xml:space="preserve">         堵头混凝土+原支护与基岩接触面抗剪断摩擦系数材料性能分项系数f</t>
    </r>
    <r>
      <rPr>
        <vertAlign val="subscript"/>
        <sz val="12"/>
        <color theme="1"/>
        <rFont val="宋体"/>
        <family val="3"/>
        <charset val="134"/>
      </rPr>
      <t>RK</t>
    </r>
    <r>
      <rPr>
        <sz val="12"/>
        <color theme="1"/>
        <rFont val="宋体"/>
        <family val="3"/>
        <charset val="134"/>
      </rPr>
      <t>=</t>
    </r>
    <phoneticPr fontId="24" type="noConversion"/>
  </si>
  <si>
    <r>
      <t xml:space="preserve">         堵头混凝土+原支护与基岩接触面抗剪断粘聚力材料性能分项系c</t>
    </r>
    <r>
      <rPr>
        <vertAlign val="subscript"/>
        <sz val="12"/>
        <color theme="1"/>
        <rFont val="宋体"/>
        <family val="3"/>
        <charset val="134"/>
      </rPr>
      <t>RK</t>
    </r>
    <r>
      <rPr>
        <sz val="12"/>
        <color theme="1"/>
        <rFont val="宋体"/>
        <family val="3"/>
        <charset val="134"/>
      </rPr>
      <t>=</t>
    </r>
    <phoneticPr fontId="24" type="noConversion"/>
  </si>
  <si>
    <t>m（无廊道或设廊道但回填混凝土时，长度输入0）</t>
    <phoneticPr fontId="24" type="noConversion"/>
  </si>
  <si>
    <r>
      <t>洞长</t>
    </r>
    <r>
      <rPr>
        <sz val="12"/>
        <color rgb="FFFF0000"/>
        <rFont val="Times New Roman"/>
        <family val="1"/>
      </rPr>
      <t>81.080m</t>
    </r>
    <r>
      <rPr>
        <sz val="12"/>
        <color rgb="FFFF0000"/>
        <rFont val="宋体"/>
        <family val="3"/>
        <charset val="134"/>
      </rPr>
      <t>，现泄洪放空洞已施工完毕，需对支洞洞口进行封堵，</t>
    </r>
    <r>
      <rPr>
        <sz val="12"/>
        <color theme="1"/>
        <rFont val="宋体"/>
        <family val="3"/>
        <charset val="134"/>
      </rPr>
      <t>堵头混凝土浇筑前需将洞周喷</t>
    </r>
    <phoneticPr fontId="24" type="noConversion"/>
  </si>
  <si>
    <r>
      <t xml:space="preserve">   堵头混凝土与基岩接触面抗剪断摩擦系数f</t>
    </r>
    <r>
      <rPr>
        <vertAlign val="subscript"/>
        <sz val="12"/>
        <color theme="1"/>
        <rFont val="宋体"/>
        <family val="3"/>
        <charset val="134"/>
      </rPr>
      <t>R1</t>
    </r>
    <r>
      <rPr>
        <sz val="12"/>
        <color theme="1"/>
        <rFont val="宋体"/>
        <family val="3"/>
        <charset val="134"/>
      </rPr>
      <t>'=</t>
    </r>
    <phoneticPr fontId="24" type="noConversion"/>
  </si>
  <si>
    <r>
      <t xml:space="preserve">   堵头混凝土与基岩接触面抗剪断粘聚力c</t>
    </r>
    <r>
      <rPr>
        <vertAlign val="subscript"/>
        <sz val="12"/>
        <color theme="1"/>
        <rFont val="宋体"/>
        <family val="3"/>
        <charset val="134"/>
      </rPr>
      <t>R1</t>
    </r>
    <r>
      <rPr>
        <sz val="12"/>
        <color theme="1"/>
        <rFont val="宋体"/>
        <family val="3"/>
        <charset val="134"/>
      </rPr>
      <t>'=</t>
    </r>
    <phoneticPr fontId="24" type="noConversion"/>
  </si>
  <si>
    <r>
      <t xml:space="preserve">         堵头混凝土与基岩接触面抗剪断摩擦系数材料性能分项系数f</t>
    </r>
    <r>
      <rPr>
        <vertAlign val="subscript"/>
        <sz val="12"/>
        <color theme="1"/>
        <rFont val="宋体"/>
        <family val="3"/>
        <charset val="134"/>
      </rPr>
      <t>RK</t>
    </r>
    <r>
      <rPr>
        <sz val="12"/>
        <color theme="1"/>
        <rFont val="宋体"/>
        <family val="3"/>
        <charset val="134"/>
      </rPr>
      <t>=</t>
    </r>
    <phoneticPr fontId="24" type="noConversion"/>
  </si>
  <si>
    <r>
      <t xml:space="preserve">         堵头混凝土与基岩接触面抗剪断粘聚力材料性能分项系c</t>
    </r>
    <r>
      <rPr>
        <vertAlign val="subscript"/>
        <sz val="12"/>
        <color theme="1"/>
        <rFont val="宋体"/>
        <family val="3"/>
        <charset val="134"/>
      </rPr>
      <t>RK</t>
    </r>
    <r>
      <rPr>
        <sz val="12"/>
        <color theme="1"/>
        <rFont val="宋体"/>
        <family val="3"/>
        <charset val="134"/>
      </rPr>
      <t>=</t>
    </r>
    <phoneticPr fontId="24" type="noConversion"/>
  </si>
  <si>
    <r>
      <t xml:space="preserve">         堵头混凝土与基岩接触面抗剪断摩擦系数材料性能分项系数f</t>
    </r>
    <r>
      <rPr>
        <vertAlign val="subscript"/>
        <sz val="12"/>
        <color theme="1"/>
        <rFont val="宋体"/>
        <family val="3"/>
        <charset val="134"/>
      </rPr>
      <t>RKd</t>
    </r>
    <r>
      <rPr>
        <sz val="12"/>
        <color theme="1"/>
        <rFont val="宋体"/>
        <family val="3"/>
        <charset val="134"/>
      </rPr>
      <t>=</t>
    </r>
    <phoneticPr fontId="24" type="noConversion"/>
  </si>
  <si>
    <r>
      <t xml:space="preserve">         堵头混凝土与基岩接触面抗剪断粘聚力材料性能分项系c</t>
    </r>
    <r>
      <rPr>
        <vertAlign val="subscript"/>
        <sz val="12"/>
        <color theme="1"/>
        <rFont val="宋体"/>
        <family val="3"/>
        <charset val="134"/>
      </rPr>
      <t>RKd</t>
    </r>
    <r>
      <rPr>
        <sz val="12"/>
        <color theme="1"/>
        <rFont val="宋体"/>
        <family val="3"/>
        <charset val="134"/>
      </rPr>
      <t>=</t>
    </r>
    <phoneticPr fontId="24" type="noConversion"/>
  </si>
  <si>
    <r>
      <t xml:space="preserve">    堵头混凝土与基岩接触面抗剪断摩擦系数f</t>
    </r>
    <r>
      <rPr>
        <vertAlign val="subscript"/>
        <sz val="12"/>
        <color theme="1"/>
        <rFont val="宋体"/>
        <family val="3"/>
        <charset val="134"/>
      </rPr>
      <t>R</t>
    </r>
    <r>
      <rPr>
        <sz val="12"/>
        <color theme="1"/>
        <rFont val="宋体"/>
        <family val="3"/>
        <charset val="134"/>
      </rPr>
      <t>'=f</t>
    </r>
    <r>
      <rPr>
        <vertAlign val="subscript"/>
        <sz val="12"/>
        <color theme="1"/>
        <rFont val="宋体"/>
        <family val="3"/>
        <charset val="134"/>
      </rPr>
      <t>R1</t>
    </r>
    <r>
      <rPr>
        <sz val="12"/>
        <color theme="1"/>
        <rFont val="宋体"/>
        <family val="3"/>
        <charset val="134"/>
      </rPr>
      <t>'/f</t>
    </r>
    <r>
      <rPr>
        <vertAlign val="subscript"/>
        <sz val="12"/>
        <color theme="1"/>
        <rFont val="宋体"/>
        <family val="3"/>
        <charset val="134"/>
      </rPr>
      <t>RK</t>
    </r>
    <r>
      <rPr>
        <sz val="12"/>
        <color theme="1"/>
        <rFont val="宋体"/>
        <family val="3"/>
        <charset val="134"/>
      </rPr>
      <t>=</t>
    </r>
    <phoneticPr fontId="24" type="noConversion"/>
  </si>
  <si>
    <r>
      <t xml:space="preserve">    堵头混凝土与基岩接触面抗剪断粘聚力c</t>
    </r>
    <r>
      <rPr>
        <vertAlign val="subscript"/>
        <sz val="12"/>
        <color theme="1"/>
        <rFont val="宋体"/>
        <family val="3"/>
        <charset val="134"/>
      </rPr>
      <t>R</t>
    </r>
    <r>
      <rPr>
        <sz val="12"/>
        <color theme="1"/>
        <rFont val="宋体"/>
        <family val="3"/>
        <charset val="134"/>
      </rPr>
      <t>'=c</t>
    </r>
    <r>
      <rPr>
        <vertAlign val="subscript"/>
        <sz val="12"/>
        <color theme="1"/>
        <rFont val="宋体"/>
        <family val="3"/>
        <charset val="134"/>
      </rPr>
      <t>R1</t>
    </r>
    <r>
      <rPr>
        <sz val="12"/>
        <color theme="1"/>
        <rFont val="宋体"/>
        <family val="3"/>
        <charset val="134"/>
      </rPr>
      <t>'/c</t>
    </r>
    <r>
      <rPr>
        <vertAlign val="subscript"/>
        <sz val="12"/>
        <color theme="1"/>
        <rFont val="宋体"/>
        <family val="3"/>
        <charset val="134"/>
      </rPr>
      <t>RK</t>
    </r>
    <r>
      <rPr>
        <sz val="12"/>
        <color theme="1"/>
        <rFont val="宋体"/>
        <family val="3"/>
        <charset val="134"/>
      </rPr>
      <t>=</t>
    </r>
    <phoneticPr fontId="24" type="noConversion"/>
  </si>
  <si>
    <r>
      <t xml:space="preserve">    堵头混凝土与基岩接触面抗剪断摩擦系数f</t>
    </r>
    <r>
      <rPr>
        <vertAlign val="subscript"/>
        <sz val="12"/>
        <color theme="1"/>
        <rFont val="宋体"/>
        <family val="3"/>
        <charset val="134"/>
      </rPr>
      <t>R</t>
    </r>
    <r>
      <rPr>
        <sz val="12"/>
        <color theme="1"/>
        <rFont val="宋体"/>
        <family val="3"/>
        <charset val="134"/>
      </rPr>
      <t>'=f</t>
    </r>
    <r>
      <rPr>
        <vertAlign val="subscript"/>
        <sz val="12"/>
        <color theme="1"/>
        <rFont val="宋体"/>
        <family val="3"/>
        <charset val="134"/>
      </rPr>
      <t>R1</t>
    </r>
    <r>
      <rPr>
        <sz val="12"/>
        <color theme="1"/>
        <rFont val="宋体"/>
        <family val="3"/>
        <charset val="134"/>
      </rPr>
      <t>'/f</t>
    </r>
    <r>
      <rPr>
        <vertAlign val="subscript"/>
        <sz val="12"/>
        <color theme="1"/>
        <rFont val="宋体"/>
        <family val="3"/>
        <charset val="134"/>
      </rPr>
      <t>RKd</t>
    </r>
    <r>
      <rPr>
        <sz val="12"/>
        <color theme="1"/>
        <rFont val="宋体"/>
        <family val="3"/>
        <charset val="134"/>
      </rPr>
      <t>=</t>
    </r>
    <phoneticPr fontId="24" type="noConversion"/>
  </si>
  <si>
    <r>
      <t xml:space="preserve">    堵头混凝土与基岩接触面抗剪断粘聚力c</t>
    </r>
    <r>
      <rPr>
        <vertAlign val="subscript"/>
        <sz val="12"/>
        <color theme="1"/>
        <rFont val="宋体"/>
        <family val="3"/>
        <charset val="134"/>
      </rPr>
      <t>R</t>
    </r>
    <r>
      <rPr>
        <sz val="12"/>
        <color theme="1"/>
        <rFont val="宋体"/>
        <family val="3"/>
        <charset val="134"/>
      </rPr>
      <t>'=c</t>
    </r>
    <r>
      <rPr>
        <vertAlign val="subscript"/>
        <sz val="12"/>
        <color theme="1"/>
        <rFont val="宋体"/>
        <family val="3"/>
        <charset val="134"/>
      </rPr>
      <t>R1</t>
    </r>
    <r>
      <rPr>
        <sz val="12"/>
        <color theme="1"/>
        <rFont val="宋体"/>
        <family val="3"/>
        <charset val="134"/>
      </rPr>
      <t>'/c</t>
    </r>
    <r>
      <rPr>
        <vertAlign val="subscript"/>
        <sz val="12"/>
        <color theme="1"/>
        <rFont val="宋体"/>
        <family val="3"/>
        <charset val="134"/>
      </rPr>
      <t>RKd</t>
    </r>
    <r>
      <rPr>
        <sz val="12"/>
        <color theme="1"/>
        <rFont val="宋体"/>
        <family val="3"/>
        <charset val="134"/>
      </rPr>
      <t>=</t>
    </r>
    <phoneticPr fontId="24" type="noConversion"/>
  </si>
  <si>
    <r>
      <t xml:space="preserve">      洞身支护厚度（顶拱）d</t>
    </r>
    <r>
      <rPr>
        <vertAlign val="subscript"/>
        <sz val="12"/>
        <rFont val="宋体"/>
        <family val="3"/>
        <charset val="134"/>
      </rPr>
      <t>11</t>
    </r>
    <r>
      <rPr>
        <sz val="12"/>
        <rFont val="宋体"/>
        <family val="3"/>
        <charset val="134"/>
      </rPr>
      <t>=</t>
    </r>
    <phoneticPr fontId="24" type="noConversion"/>
  </si>
  <si>
    <r>
      <t xml:space="preserve">      洞身支护厚度（直墙）d</t>
    </r>
    <r>
      <rPr>
        <vertAlign val="subscript"/>
        <sz val="12"/>
        <rFont val="宋体"/>
        <family val="3"/>
        <charset val="134"/>
      </rPr>
      <t>12</t>
    </r>
    <r>
      <rPr>
        <sz val="12"/>
        <rFont val="宋体"/>
        <family val="3"/>
        <charset val="134"/>
      </rPr>
      <t>=</t>
    </r>
    <phoneticPr fontId="24" type="noConversion"/>
  </si>
  <si>
    <r>
      <t xml:space="preserve">      洞身支护厚度（底板）d</t>
    </r>
    <r>
      <rPr>
        <vertAlign val="subscript"/>
        <sz val="12"/>
        <rFont val="宋体"/>
        <family val="3"/>
        <charset val="134"/>
      </rPr>
      <t>13</t>
    </r>
    <r>
      <rPr>
        <sz val="12"/>
        <rFont val="宋体"/>
        <family val="3"/>
        <charset val="134"/>
      </rPr>
      <t>=</t>
    </r>
    <phoneticPr fontId="24" type="noConversion"/>
  </si>
  <si>
    <r>
      <t xml:space="preserve">      封堵联合体顶拱半径 </t>
    </r>
    <r>
      <rPr>
        <sz val="12"/>
        <color theme="1"/>
        <rFont val="Times New Roman"/>
        <family val="1"/>
      </rPr>
      <t xml:space="preserve"> r =</t>
    </r>
    <phoneticPr fontId="24" type="noConversion"/>
  </si>
  <si>
    <t xml:space="preserve">      封堵联合体顶拱中心角α  =2arcsin(0.5b/r)=</t>
    <phoneticPr fontId="24" type="noConversion"/>
  </si>
  <si>
    <r>
      <t>1</t>
    </r>
    <r>
      <rPr>
        <sz val="12"/>
        <rFont val="宋体"/>
        <family val="3"/>
        <charset val="134"/>
      </rPr>
      <t>）根据堵头段原设计是否有钢筋混凝土衬砌、是否拆除确定需要计算的接触面个数，然后选择相应工作表进行计算。</t>
    </r>
    <phoneticPr fontId="24" type="noConversion"/>
  </si>
  <si>
    <r>
      <t>高程</t>
    </r>
    <r>
      <rPr>
        <sz val="12"/>
        <color rgb="FFFF0000"/>
        <rFont val="Times New Roman"/>
        <family val="1"/>
      </rPr>
      <t>369.000</t>
    </r>
    <r>
      <rPr>
        <sz val="12"/>
        <color rgb="FFFF0000"/>
        <rFont val="宋体"/>
        <family val="3"/>
        <charset val="134"/>
      </rPr>
      <t>m，</t>
    </r>
    <r>
      <rPr>
        <sz val="12"/>
        <color theme="1"/>
        <rFont val="宋体"/>
        <family val="3"/>
        <charset val="134"/>
      </rPr>
      <t>隧洞总长度</t>
    </r>
    <r>
      <rPr>
        <sz val="12"/>
        <color rgb="FFFF0000"/>
        <rFont val="宋体"/>
        <family val="3"/>
        <charset val="134"/>
      </rPr>
      <t>×m，</t>
    </r>
    <r>
      <rPr>
        <sz val="12"/>
        <color theme="1"/>
        <rFont val="宋体"/>
        <family val="3"/>
        <charset val="134"/>
      </rPr>
      <t>底坡</t>
    </r>
    <r>
      <rPr>
        <sz val="12"/>
        <color rgb="FFFF0000"/>
        <rFont val="宋体"/>
        <family val="3"/>
        <charset val="134"/>
      </rPr>
      <t>×%。</t>
    </r>
    <r>
      <rPr>
        <sz val="12"/>
        <color theme="1"/>
        <rFont val="宋体"/>
        <family val="3"/>
        <charset val="134"/>
      </rPr>
      <t>堵头段顶拱和边墙喷混凝土厚</t>
    </r>
    <r>
      <rPr>
        <sz val="12"/>
        <color rgb="FFFF0000"/>
        <rFont val="宋体"/>
        <family val="3"/>
        <charset val="134"/>
      </rPr>
      <t>0.1</t>
    </r>
    <r>
      <rPr>
        <sz val="12"/>
        <color theme="1"/>
        <rFont val="宋体"/>
        <family val="3"/>
        <charset val="134"/>
      </rPr>
      <t>m，洞周衬砌混凝土厚</t>
    </r>
    <r>
      <rPr>
        <sz val="12"/>
        <color rgb="FFFF0000"/>
        <rFont val="宋体"/>
        <family val="3"/>
        <charset val="134"/>
      </rPr>
      <t/>
    </r>
    <phoneticPr fontId="24" type="noConversion"/>
  </si>
  <si>
    <r>
      <t>0.50m，现泄洪放空洞已施工完毕，需对支洞洞口进行封堵，</t>
    </r>
    <r>
      <rPr>
        <sz val="12"/>
        <color theme="1"/>
        <rFont val="宋体"/>
        <family val="3"/>
        <charset val="134"/>
      </rPr>
      <t>堵头混凝土浇筑前不拆除原支护混凝土。</t>
    </r>
    <phoneticPr fontId="24" type="noConversion"/>
  </si>
  <si>
    <r>
      <t>3</t>
    </r>
    <r>
      <rPr>
        <sz val="12"/>
        <rFont val="宋体"/>
        <family val="3"/>
        <charset val="134"/>
      </rPr>
      <t>）使用时只需将计算书中红色字体和黄色阴影部分按工程具体情况做相应修改，浅蓝色阴影部分亦可视情况在允许范围做调整，其余部分都是固定或自动计算的，一般不需修改。</t>
    </r>
    <phoneticPr fontId="24" type="noConversion"/>
  </si>
  <si>
    <r>
      <t xml:space="preserve">      1</t>
    </r>
    <r>
      <rPr>
        <sz val="12"/>
        <rFont val="宋体"/>
        <family val="3"/>
        <charset val="134"/>
      </rPr>
      <t>）施工详图阶段</t>
    </r>
    <r>
      <rPr>
        <sz val="12"/>
        <color rgb="FFFF0000"/>
        <rFont val="宋体"/>
        <family val="3"/>
        <charset val="134"/>
      </rPr>
      <t>××</t>
    </r>
    <r>
      <rPr>
        <sz val="12"/>
        <rFont val="宋体"/>
        <family val="3"/>
        <charset val="134"/>
      </rPr>
      <t>洞布置、结构及支护图，详见附件；</t>
    </r>
    <phoneticPr fontId="24" type="noConversion"/>
  </si>
  <si>
    <t xml:space="preserve">   2）堵头位置洞段相关的地质互提资料联系单，详见附件；</t>
    <phoneticPr fontId="24" type="noConversion"/>
  </si>
  <si>
    <t xml:space="preserve">   3）堵头各工况挡水水位互提资料联系单，详见附件。</t>
    <phoneticPr fontId="24" type="noConversion"/>
  </si>
  <si>
    <t xml:space="preserve">    根据《水利水电工程施工组织设计手册》第一卷，堵头的长度常用以下抗剪断强度公式估算：</t>
    <phoneticPr fontId="24" type="noConversion"/>
  </si>
  <si>
    <r>
      <t xml:space="preserve">    正常蓄水位时堵头底挡水水头H</t>
    </r>
    <r>
      <rPr>
        <vertAlign val="subscript"/>
        <sz val="12"/>
        <rFont val="宋体"/>
        <family val="3"/>
        <charset val="134"/>
      </rPr>
      <t>1底</t>
    </r>
    <r>
      <rPr>
        <sz val="12"/>
        <rFont val="宋体"/>
        <family val="3"/>
        <charset val="134"/>
      </rPr>
      <t>= Z</t>
    </r>
    <r>
      <rPr>
        <vertAlign val="subscript"/>
        <sz val="12"/>
        <rFont val="宋体"/>
        <family val="3"/>
        <charset val="134"/>
      </rPr>
      <t>正</t>
    </r>
    <r>
      <rPr>
        <sz val="12"/>
        <rFont val="宋体"/>
        <family val="3"/>
        <charset val="134"/>
      </rPr>
      <t>-Z</t>
    </r>
    <r>
      <rPr>
        <vertAlign val="subscript"/>
        <sz val="12"/>
        <rFont val="宋体"/>
        <family val="3"/>
        <charset val="134"/>
      </rPr>
      <t>底</t>
    </r>
    <r>
      <rPr>
        <sz val="12"/>
        <rFont val="宋体"/>
        <family val="3"/>
        <charset val="134"/>
      </rPr>
      <t>=</t>
    </r>
    <phoneticPr fontId="24" type="noConversion"/>
  </si>
  <si>
    <t xml:space="preserve">      顶拱形心近似按由顶拱及两拱脚组成的内接三角形截面形心考虑</t>
    <phoneticPr fontId="24" type="noConversion"/>
  </si>
  <si>
    <t>3  堵头基本要素计算</t>
    <phoneticPr fontId="24" type="noConversion"/>
  </si>
  <si>
    <t>3  堵头基本要素计算……………………………………………………………………</t>
    <phoneticPr fontId="24" type="noConversion"/>
  </si>
  <si>
    <r>
      <t xml:space="preserve">      P</t>
    </r>
    <r>
      <rPr>
        <vertAlign val="subscript"/>
        <sz val="12"/>
        <rFont val="宋体"/>
        <family val="3"/>
        <charset val="134"/>
      </rPr>
      <t>3直墙</t>
    </r>
    <r>
      <rPr>
        <sz val="12"/>
        <rFont val="宋体"/>
        <family val="3"/>
        <charset val="134"/>
      </rPr>
      <t>（校核洪水位）=(H</t>
    </r>
    <r>
      <rPr>
        <vertAlign val="subscript"/>
        <sz val="12"/>
        <rFont val="宋体"/>
        <family val="3"/>
        <charset val="134"/>
      </rPr>
      <t>3底</t>
    </r>
    <r>
      <rPr>
        <sz val="12"/>
        <rFont val="宋体"/>
        <family val="3"/>
        <charset val="134"/>
      </rPr>
      <t>+H</t>
    </r>
    <r>
      <rPr>
        <vertAlign val="subscript"/>
        <sz val="12"/>
        <rFont val="宋体"/>
        <family val="3"/>
        <charset val="134"/>
      </rPr>
      <t>3顶</t>
    </r>
    <r>
      <rPr>
        <sz val="12"/>
        <rFont val="宋体"/>
        <family val="3"/>
        <charset val="134"/>
      </rPr>
      <t>）h</t>
    </r>
    <r>
      <rPr>
        <vertAlign val="subscript"/>
        <sz val="12"/>
        <rFont val="宋体"/>
        <family val="3"/>
        <charset val="134"/>
      </rPr>
      <t>2</t>
    </r>
    <r>
      <rPr>
        <sz val="12"/>
        <rFont val="宋体"/>
        <family val="3"/>
        <charset val="134"/>
      </rPr>
      <t>bγ</t>
    </r>
    <r>
      <rPr>
        <vertAlign val="subscript"/>
        <sz val="12"/>
        <rFont val="宋体"/>
        <family val="3"/>
        <charset val="134"/>
      </rPr>
      <t>w</t>
    </r>
    <r>
      <rPr>
        <sz val="12"/>
        <rFont val="宋体"/>
        <family val="3"/>
        <charset val="134"/>
      </rPr>
      <t>/2=</t>
    </r>
    <phoneticPr fontId="24" type="noConversion"/>
  </si>
  <si>
    <r>
      <t xml:space="preserve">    </t>
    </r>
    <r>
      <rPr>
        <sz val="12"/>
        <color theme="1"/>
        <rFont val="宋体"/>
        <family val="3"/>
        <charset val="134"/>
      </rPr>
      <t>根据互提资料联系单（见附件），</t>
    </r>
    <r>
      <rPr>
        <sz val="12"/>
        <color rgb="FFFF0000"/>
        <rFont val="宋体"/>
        <family val="3"/>
        <charset val="134"/>
      </rPr>
      <t>×××</t>
    </r>
    <r>
      <rPr>
        <sz val="12"/>
        <color theme="1"/>
        <rFont val="宋体"/>
        <family val="3"/>
        <charset val="134"/>
      </rPr>
      <t>水电站坝址区场地地震基本烈度为</t>
    </r>
    <r>
      <rPr>
        <sz val="12"/>
        <color rgb="FFFF0000"/>
        <rFont val="宋体"/>
        <family val="3"/>
        <charset val="134"/>
      </rPr>
      <t>Ⅵ</t>
    </r>
    <r>
      <rPr>
        <sz val="12"/>
        <color theme="1"/>
        <rFont val="宋体"/>
        <family val="3"/>
        <charset val="134"/>
      </rPr>
      <t>度</t>
    </r>
    <r>
      <rPr>
        <sz val="12"/>
        <color rgb="FFFF0000"/>
        <rFont val="宋体"/>
        <family val="3"/>
        <charset val="134"/>
      </rPr>
      <t>，</t>
    </r>
    <r>
      <rPr>
        <sz val="12"/>
        <color theme="1"/>
        <rFont val="宋体"/>
        <family val="3"/>
        <charset val="134"/>
      </rPr>
      <t>堵头为</t>
    </r>
    <r>
      <rPr>
        <sz val="12"/>
        <color rgb="FFFF0000"/>
        <rFont val="宋体"/>
        <family val="3"/>
        <charset val="134"/>
      </rPr>
      <t>1</t>
    </r>
    <r>
      <rPr>
        <sz val="12"/>
        <color theme="1"/>
        <rFont val="宋体"/>
        <family val="3"/>
        <charset val="134"/>
      </rPr>
      <t>级壅</t>
    </r>
    <phoneticPr fontId="24" type="noConversion"/>
  </si>
  <si>
    <t>4.3 堵头挡水侧水平水压力计算</t>
    <phoneticPr fontId="24" type="noConversion"/>
  </si>
  <si>
    <t>P：设计水头总水压力；</t>
  </si>
  <si>
    <t xml:space="preserve">    堵头挡水侧总水平水压力：</t>
  </si>
  <si>
    <t>4.3 堵头挡水侧水平水压力计算</t>
    <phoneticPr fontId="24" type="noConversion"/>
  </si>
  <si>
    <t xml:space="preserve">  4.3 堵头挡水侧水平水压力计算 ……………………………………………………</t>
    <phoneticPr fontId="24" type="noConversion"/>
  </si>
  <si>
    <t>使用说明</t>
    <phoneticPr fontId="24" type="noConversion"/>
  </si>
  <si>
    <r>
      <rPr>
        <sz val="12"/>
        <rFont val="Calibri"/>
        <family val="2"/>
      </rPr>
      <t>4</t>
    </r>
    <r>
      <rPr>
        <sz val="12"/>
        <rFont val="宋体"/>
        <family val="3"/>
        <charset val="134"/>
      </rPr>
      <t>）第</t>
    </r>
    <r>
      <rPr>
        <sz val="12"/>
        <rFont val="Calibri"/>
        <family val="2"/>
      </rPr>
      <t>2</t>
    </r>
    <r>
      <rPr>
        <sz val="12"/>
        <rFont val="宋体"/>
        <family val="3"/>
        <charset val="134"/>
      </rPr>
      <t>节中“水位特征值是否含水锤值”，输入“是</t>
    </r>
    <r>
      <rPr>
        <sz val="12"/>
        <rFont val="Calibri"/>
        <family val="2"/>
      </rPr>
      <t>”</t>
    </r>
    <r>
      <rPr>
        <sz val="12"/>
        <rFont val="宋体"/>
        <family val="3"/>
        <charset val="134"/>
      </rPr>
      <t>或</t>
    </r>
    <r>
      <rPr>
        <sz val="12"/>
        <rFont val="Calibri"/>
        <family val="2"/>
      </rPr>
      <t>“</t>
    </r>
    <r>
      <rPr>
        <sz val="12"/>
        <rFont val="宋体"/>
        <family val="3"/>
        <charset val="134"/>
      </rPr>
      <t>否</t>
    </r>
    <r>
      <rPr>
        <sz val="12"/>
        <rFont val="Calibri"/>
        <family val="2"/>
      </rPr>
      <t>”</t>
    </r>
    <r>
      <rPr>
        <sz val="12"/>
        <rFont val="宋体"/>
        <family val="3"/>
        <charset val="134"/>
      </rPr>
      <t>。</t>
    </r>
    <phoneticPr fontId="24" type="noConversion"/>
  </si>
  <si>
    <r>
      <t>5</t>
    </r>
    <r>
      <rPr>
        <sz val="12"/>
        <rFont val="宋体"/>
        <family val="3"/>
        <charset val="134"/>
      </rPr>
      <t>）第</t>
    </r>
    <r>
      <rPr>
        <sz val="12"/>
        <rFont val="Times New Roman"/>
        <family val="1"/>
      </rPr>
      <t>4.5</t>
    </r>
    <r>
      <rPr>
        <sz val="12"/>
        <rFont val="宋体"/>
        <family val="3"/>
        <charset val="134"/>
      </rPr>
      <t>节中，堵头无廊道或设灌浆廊道但回填混凝土时，廊道长度输入“</t>
    </r>
    <r>
      <rPr>
        <sz val="12"/>
        <rFont val="Times New Roman"/>
        <family val="1"/>
      </rPr>
      <t>0”</t>
    </r>
    <r>
      <rPr>
        <sz val="12"/>
        <rFont val="宋体"/>
        <family val="3"/>
        <charset val="134"/>
      </rPr>
      <t>即可。</t>
    </r>
    <phoneticPr fontId="24" type="noConversion"/>
  </si>
  <si>
    <t xml:space="preserve">      水位互提资料联系单 ……………………………………………………………</t>
    <phoneticPr fontId="24" type="noConversion"/>
  </si>
  <si>
    <r>
      <t>2</t>
    </r>
    <r>
      <rPr>
        <sz val="12"/>
        <rFont val="宋体"/>
        <family val="3"/>
        <charset val="134"/>
      </rPr>
      <t>）计算书适应于城门洞型孔洞堵头的计算，计算荷载目前未加入土压力情况（一般无此荷载），如某些特殊情况有土压力，则需增加土压力及地震动土压力相关计算内容。</t>
    </r>
    <phoneticPr fontId="24" type="noConversion"/>
  </si>
  <si>
    <r>
      <t>6</t>
    </r>
    <r>
      <rPr>
        <sz val="12"/>
        <rFont val="宋体"/>
        <family val="3"/>
        <charset val="134"/>
      </rPr>
      <t>）地震基本烈度</t>
    </r>
    <r>
      <rPr>
        <sz val="12"/>
        <rFont val="Times New Roman"/>
        <family val="1"/>
      </rPr>
      <t>&lt;6</t>
    </r>
    <r>
      <rPr>
        <sz val="12"/>
        <rFont val="宋体"/>
        <family val="3"/>
        <charset val="134"/>
      </rPr>
      <t>度时不需做地震工况验算，算稿说明不需做此验算，删除相关内容即可。</t>
    </r>
    <phoneticPr fontId="24" type="noConversion"/>
  </si>
  <si>
    <r>
      <rPr>
        <sz val="12"/>
        <color theme="1"/>
        <rFont val="宋体"/>
        <family val="3"/>
        <charset val="134"/>
      </rPr>
      <t>水建筑物。根据NB 35047-2015表3.0.1，堵头工程抗震设防类别为</t>
    </r>
    <r>
      <rPr>
        <sz val="12"/>
        <color rgb="FFFF0000"/>
        <rFont val="宋体"/>
        <family val="3"/>
        <charset val="134"/>
      </rPr>
      <t>甲</t>
    </r>
    <r>
      <rPr>
        <sz val="12"/>
        <color theme="1"/>
        <rFont val="宋体"/>
        <family val="3"/>
        <charset val="134"/>
      </rPr>
      <t>类</t>
    </r>
    <r>
      <rPr>
        <sz val="12"/>
        <color rgb="FFFF0000"/>
        <rFont val="宋体"/>
        <family val="3"/>
        <charset val="134"/>
      </rPr>
      <t>，</t>
    </r>
    <r>
      <rPr>
        <sz val="12"/>
        <color theme="1"/>
        <rFont val="宋体"/>
        <family val="3"/>
        <charset val="134"/>
      </rPr>
      <t>地震设计烈度</t>
    </r>
    <r>
      <rPr>
        <sz val="12"/>
        <color rgb="FFFF0000"/>
        <rFont val="宋体"/>
        <family val="3"/>
        <charset val="134"/>
      </rPr>
      <t>应在基本烈度</t>
    </r>
    <phoneticPr fontId="24" type="noConversion"/>
  </si>
  <si>
    <t>基础上提高1度，设计水平向地震动峰值加速度代表值相应增加1倍。</t>
    <phoneticPr fontId="24" type="noConversion"/>
  </si>
  <si>
    <r>
      <t xml:space="preserve">    </t>
    </r>
    <r>
      <rPr>
        <sz val="12"/>
        <color theme="1"/>
        <rFont val="宋体"/>
        <family val="3"/>
        <charset val="134"/>
      </rPr>
      <t>则其建筑物的基岩平坦地表水平向设计地震动峰值加速度代表值的概率水准应取</t>
    </r>
    <r>
      <rPr>
        <sz val="12"/>
        <color rgb="FFFF0000"/>
        <rFont val="宋体"/>
        <family val="3"/>
        <charset val="134"/>
      </rPr>
      <t>100</t>
    </r>
    <r>
      <rPr>
        <sz val="12"/>
        <color theme="1"/>
        <rFont val="宋体"/>
        <family val="3"/>
        <charset val="134"/>
      </rPr>
      <t>年内超越概</t>
    </r>
    <phoneticPr fontId="24" type="noConversion"/>
  </si>
  <si>
    <t>烈度取用。</t>
    <phoneticPr fontId="24" type="noConversion"/>
  </si>
  <si>
    <r>
      <t xml:space="preserve">            </t>
    </r>
    <r>
      <rPr>
        <sz val="12"/>
        <color rgb="FFFF0000"/>
        <rFont val="宋体"/>
        <family val="3"/>
        <charset val="134"/>
      </rPr>
      <t>其它情况下应修改算稿中相关文字如下，并按地质提供的地震动峰值加速度代表值输入。</t>
    </r>
    <phoneticPr fontId="24" type="noConversion"/>
  </si>
  <si>
    <r>
      <rPr>
        <sz val="12"/>
        <color theme="1"/>
        <rFont val="宋体"/>
        <family val="3"/>
        <charset val="134"/>
      </rPr>
      <t>水建筑物。根据NB 35047-2015表3.0.1，堵头工程抗震设防类别为</t>
    </r>
    <r>
      <rPr>
        <sz val="12"/>
        <color rgb="FFFF0000"/>
        <rFont val="宋体"/>
        <family val="3"/>
        <charset val="134"/>
      </rPr>
      <t>×</t>
    </r>
    <r>
      <rPr>
        <sz val="12"/>
        <color theme="1"/>
        <rFont val="宋体"/>
        <family val="3"/>
        <charset val="134"/>
      </rPr>
      <t>类</t>
    </r>
    <r>
      <rPr>
        <sz val="12"/>
        <color rgb="FFFF0000"/>
        <rFont val="宋体"/>
        <family val="3"/>
        <charset val="134"/>
      </rPr>
      <t>，</t>
    </r>
    <r>
      <rPr>
        <sz val="12"/>
        <color theme="1"/>
        <rFont val="宋体"/>
        <family val="3"/>
        <charset val="134"/>
      </rPr>
      <t>地震设计烈度</t>
    </r>
    <r>
      <rPr>
        <sz val="12"/>
        <color rgb="FFFF0000"/>
        <rFont val="宋体"/>
        <family val="3"/>
        <charset val="134"/>
      </rPr>
      <t>按基本</t>
    </r>
    <phoneticPr fontId="24" type="noConversion"/>
  </si>
  <si>
    <t>根据项目归口类型取舍</t>
    <phoneticPr fontId="24" type="noConversion"/>
  </si>
  <si>
    <r>
      <t xml:space="preserve">    堵头封堵体挡水侧底板高程Z</t>
    </r>
    <r>
      <rPr>
        <vertAlign val="subscript"/>
        <sz val="12"/>
        <rFont val="宋体"/>
        <family val="3"/>
        <charset val="134"/>
      </rPr>
      <t>底</t>
    </r>
    <r>
      <rPr>
        <sz val="12"/>
        <rFont val="宋体"/>
        <family val="3"/>
        <charset val="134"/>
      </rPr>
      <t xml:space="preserve">= </t>
    </r>
    <phoneticPr fontId="24" type="noConversion"/>
  </si>
  <si>
    <r>
      <t xml:space="preserve">    堵头联合体挡水侧底板高程Z</t>
    </r>
    <r>
      <rPr>
        <vertAlign val="subscript"/>
        <sz val="12"/>
        <rFont val="宋体"/>
        <family val="3"/>
        <charset val="134"/>
      </rPr>
      <t>底</t>
    </r>
    <r>
      <rPr>
        <sz val="12"/>
        <rFont val="宋体"/>
        <family val="3"/>
        <charset val="134"/>
      </rPr>
      <t xml:space="preserve">= </t>
    </r>
    <phoneticPr fontId="24" type="noConversion"/>
  </si>
  <si>
    <t xml:space="preserve">    ①设计洪水位工况；</t>
    <phoneticPr fontId="24" type="noConversion"/>
  </si>
  <si>
    <t xml:space="preserve">    ②校核洪水位工况；</t>
    <phoneticPr fontId="24" type="noConversion"/>
  </si>
  <si>
    <t xml:space="preserve">    ③正常蓄水位+地震工况。</t>
    <phoneticPr fontId="24" type="noConversion"/>
  </si>
  <si>
    <t>注意洞口高程是否高于堵头底板高程的差值，是否有洞口侧水位高的问题</t>
    <phoneticPr fontId="24" type="noConversion"/>
  </si>
  <si>
    <t>g(根据NB 35047-2015中10.1.2</t>
    <phoneticPr fontId="24" type="noConversion"/>
  </si>
  <si>
    <r>
      <t xml:space="preserve">    封堵体净面积</t>
    </r>
    <r>
      <rPr>
        <sz val="12"/>
        <rFont val="Calibri"/>
        <family val="3"/>
        <charset val="161"/>
      </rPr>
      <t>ω</t>
    </r>
    <r>
      <rPr>
        <sz val="12"/>
        <rFont val="宋体"/>
        <family val="3"/>
        <charset val="134"/>
      </rPr>
      <t>=bh</t>
    </r>
    <r>
      <rPr>
        <vertAlign val="subscript"/>
        <sz val="12"/>
        <rFont val="宋体"/>
        <family val="3"/>
        <charset val="134"/>
      </rPr>
      <t>2</t>
    </r>
    <r>
      <rPr>
        <sz val="12"/>
        <rFont val="宋体"/>
        <family val="3"/>
        <charset val="134"/>
      </rPr>
      <t>+</t>
    </r>
    <r>
      <rPr>
        <sz val="12"/>
        <rFont val="Calibri"/>
        <family val="3"/>
        <charset val="161"/>
      </rPr>
      <t>π</t>
    </r>
    <r>
      <rPr>
        <sz val="12"/>
        <rFont val="宋体"/>
        <family val="3"/>
        <charset val="134"/>
      </rPr>
      <t>r</t>
    </r>
    <r>
      <rPr>
        <vertAlign val="superscript"/>
        <sz val="12"/>
        <rFont val="宋体"/>
        <family val="3"/>
        <charset val="134"/>
      </rPr>
      <t>2</t>
    </r>
    <r>
      <rPr>
        <sz val="12"/>
        <rFont val="宋体"/>
        <family val="3"/>
        <charset val="134"/>
      </rPr>
      <t>(</t>
    </r>
    <r>
      <rPr>
        <sz val="12"/>
        <rFont val="Calibri"/>
        <family val="3"/>
        <charset val="161"/>
      </rPr>
      <t>α</t>
    </r>
    <r>
      <rPr>
        <sz val="12"/>
        <rFont val="宋体"/>
        <family val="3"/>
        <charset val="134"/>
      </rPr>
      <t>/360)-b(r-h</t>
    </r>
    <r>
      <rPr>
        <vertAlign val="subscript"/>
        <sz val="12"/>
        <rFont val="宋体"/>
        <family val="3"/>
        <charset val="134"/>
      </rPr>
      <t>1</t>
    </r>
    <r>
      <rPr>
        <sz val="12"/>
        <rFont val="宋体"/>
        <family val="3"/>
        <charset val="134"/>
      </rPr>
      <t>)/2=</t>
    </r>
    <phoneticPr fontId="24" type="noConversion"/>
  </si>
  <si>
    <r>
      <rPr>
        <sz val="12"/>
        <color theme="1"/>
        <rFont val="宋体"/>
        <family val="3"/>
        <charset val="134"/>
      </rPr>
      <t>按式</t>
    </r>
    <r>
      <rPr>
        <sz val="12"/>
        <color theme="1"/>
        <rFont val="Times New Roman"/>
        <family val="1"/>
      </rPr>
      <t>2-8-241</t>
    </r>
    <r>
      <rPr>
        <sz val="12"/>
        <color theme="1"/>
        <rFont val="宋体"/>
        <family val="3"/>
        <charset val="134"/>
      </rPr>
      <t>，</t>
    </r>
    <r>
      <rPr>
        <sz val="12"/>
        <color theme="1"/>
        <rFont val="Times New Roman"/>
        <family val="1"/>
      </rPr>
      <t>L=P</t>
    </r>
    <r>
      <rPr>
        <vertAlign val="subscript"/>
        <sz val="12"/>
        <color theme="1"/>
        <rFont val="Times New Roman"/>
        <family val="1"/>
      </rPr>
      <t>3</t>
    </r>
    <r>
      <rPr>
        <sz val="12"/>
        <color theme="1"/>
        <rFont val="Times New Roman"/>
        <family val="1"/>
      </rPr>
      <t>/(Arf/K</t>
    </r>
    <r>
      <rPr>
        <vertAlign val="subscript"/>
        <sz val="12"/>
        <color theme="1"/>
        <rFont val="Times New Roman"/>
        <family val="1"/>
      </rPr>
      <t>1</t>
    </r>
    <r>
      <rPr>
        <sz val="12"/>
        <color theme="1"/>
        <rFont val="Times New Roman"/>
        <family val="1"/>
      </rPr>
      <t>+SλC/K</t>
    </r>
    <r>
      <rPr>
        <vertAlign val="subscript"/>
        <sz val="12"/>
        <color theme="1"/>
        <rFont val="Times New Roman"/>
        <family val="1"/>
      </rPr>
      <t>2</t>
    </r>
    <r>
      <rPr>
        <sz val="12"/>
        <color theme="1"/>
        <rFont val="Times New Roman"/>
        <family val="1"/>
      </rPr>
      <t>) =</t>
    </r>
    <phoneticPr fontId="24" type="noConversion"/>
  </si>
  <si>
    <r>
      <rPr>
        <sz val="12"/>
        <color theme="1"/>
        <rFont val="宋体"/>
        <family val="3"/>
        <charset val="134"/>
      </rPr>
      <t>按式</t>
    </r>
    <r>
      <rPr>
        <sz val="12"/>
        <color theme="1"/>
        <rFont val="Times New Roman"/>
        <family val="1"/>
      </rPr>
      <t>2-8-240</t>
    </r>
    <r>
      <rPr>
        <sz val="12"/>
        <color theme="1"/>
        <rFont val="宋体"/>
        <family val="3"/>
        <charset val="134"/>
      </rPr>
      <t>，</t>
    </r>
    <r>
      <rPr>
        <sz val="12"/>
        <color theme="1"/>
        <rFont val="Times New Roman"/>
        <family val="1"/>
      </rPr>
      <t>L=KP</t>
    </r>
    <r>
      <rPr>
        <vertAlign val="subscript"/>
        <sz val="12"/>
        <color theme="1"/>
        <rFont val="Times New Roman"/>
        <family val="1"/>
      </rPr>
      <t>2</t>
    </r>
    <r>
      <rPr>
        <sz val="12"/>
        <color theme="1"/>
        <rFont val="Times New Roman"/>
        <family val="1"/>
      </rPr>
      <t>/(Arf+SλC) =</t>
    </r>
    <phoneticPr fontId="24" type="noConversion"/>
  </si>
  <si>
    <r>
      <t>小于</t>
    </r>
    <r>
      <rPr>
        <sz val="12"/>
        <rFont val="宋体"/>
        <family val="1"/>
        <charset val="134"/>
      </rPr>
      <t>2.0</t>
    </r>
    <r>
      <rPr>
        <sz val="12"/>
        <rFont val="宋体"/>
        <family val="3"/>
        <charset val="134"/>
      </rPr>
      <t>～</t>
    </r>
    <r>
      <rPr>
        <sz val="12"/>
        <rFont val="宋体"/>
        <family val="1"/>
        <charset val="134"/>
      </rPr>
      <t>3.0</t>
    </r>
    <r>
      <rPr>
        <sz val="12"/>
        <rFont val="宋体"/>
        <family val="3"/>
        <charset val="134"/>
      </rPr>
      <t>倍洞径。</t>
    </r>
    <phoneticPr fontId="24" type="noConversion"/>
  </si>
  <si>
    <t>CJ：这一节的相关尺寸及水压都是针对联合体的，而不是针对堵头的</t>
    <phoneticPr fontId="24" type="noConversion"/>
  </si>
  <si>
    <t>堵头混凝土与原衬砌混凝土接触面</t>
    <phoneticPr fontId="24" type="noConversion"/>
  </si>
  <si>
    <t>堵头混凝土+原支护与基岩接触面</t>
    <phoneticPr fontId="24" type="noConversion"/>
  </si>
  <si>
    <r>
      <t xml:space="preserve">      1</t>
    </r>
    <r>
      <rPr>
        <sz val="12"/>
        <rFont val="宋体"/>
        <family val="3"/>
        <charset val="134"/>
      </rPr>
      <t>）《水利水电工程施工组织设计手册》</t>
    </r>
    <r>
      <rPr>
        <sz val="12"/>
        <rFont val="Times New Roman"/>
        <family val="1"/>
      </rPr>
      <t xml:space="preserve"> </t>
    </r>
    <r>
      <rPr>
        <sz val="12"/>
        <rFont val="宋体"/>
        <family val="3"/>
        <charset val="134"/>
      </rPr>
      <t>第一卷（中国水利水电出版社，</t>
    </r>
    <r>
      <rPr>
        <sz val="12"/>
        <rFont val="Times New Roman"/>
        <family val="1"/>
      </rPr>
      <t>1996</t>
    </r>
    <r>
      <rPr>
        <sz val="12"/>
        <rFont val="宋体"/>
        <family val="3"/>
        <charset val="134"/>
      </rPr>
      <t>）；</t>
    </r>
    <phoneticPr fontId="24" type="noConversion"/>
  </si>
  <si>
    <r>
      <t xml:space="preserve">      2</t>
    </r>
    <r>
      <rPr>
        <sz val="12"/>
        <rFont val="宋体"/>
        <family val="3"/>
        <charset val="134"/>
      </rPr>
      <t>）</t>
    </r>
    <r>
      <rPr>
        <sz val="12"/>
        <rFont val="Times New Roman"/>
        <family val="1"/>
      </rPr>
      <t>NB/T 35026-2022</t>
    </r>
    <r>
      <rPr>
        <sz val="12"/>
        <rFont val="宋体"/>
        <family val="3"/>
        <charset val="134"/>
      </rPr>
      <t>《混凝土重力坝设计规范》；</t>
    </r>
    <phoneticPr fontId="24" type="noConversion"/>
  </si>
  <si>
    <r>
      <t xml:space="preserve">      3</t>
    </r>
    <r>
      <rPr>
        <sz val="12"/>
        <rFont val="宋体"/>
        <family val="3"/>
        <charset val="134"/>
      </rPr>
      <t>）</t>
    </r>
    <r>
      <rPr>
        <sz val="12"/>
        <rFont val="Times New Roman"/>
        <family val="1"/>
      </rPr>
      <t>NB/T 10391-2020</t>
    </r>
    <r>
      <rPr>
        <sz val="12"/>
        <rFont val="宋体"/>
        <family val="3"/>
        <charset val="134"/>
      </rPr>
      <t>《水工隧洞设计规范》；</t>
    </r>
    <phoneticPr fontId="24" type="noConversion"/>
  </si>
  <si>
    <r>
      <t xml:space="preserve">      4</t>
    </r>
    <r>
      <rPr>
        <sz val="12"/>
        <rFont val="宋体"/>
        <family val="3"/>
        <charset val="134"/>
      </rPr>
      <t>）</t>
    </r>
    <r>
      <rPr>
        <sz val="12"/>
        <rFont val="Times New Roman"/>
        <family val="1"/>
      </rPr>
      <t>NB 35047-2015</t>
    </r>
    <r>
      <rPr>
        <sz val="12"/>
        <rFont val="宋体"/>
        <family val="3"/>
        <charset val="134"/>
      </rPr>
      <t>《水电工程水工建筑物抗震设计规范》。</t>
    </r>
    <phoneticPr fontId="24" type="noConversion"/>
  </si>
  <si>
    <r>
      <t xml:space="preserve">   水的容重</t>
    </r>
    <r>
      <rPr>
        <sz val="12"/>
        <rFont val="Times New Roman"/>
        <family val="1"/>
      </rPr>
      <t>γ</t>
    </r>
    <r>
      <rPr>
        <vertAlign val="subscript"/>
        <sz val="12"/>
        <rFont val="Times New Roman"/>
        <family val="1"/>
      </rPr>
      <t>w</t>
    </r>
    <r>
      <rPr>
        <sz val="12"/>
        <rFont val="宋体"/>
        <family val="3"/>
        <charset val="134"/>
      </rPr>
      <t>＝</t>
    </r>
    <phoneticPr fontId="24" type="noConversion"/>
  </si>
  <si>
    <r>
      <t xml:space="preserve">   根据编号“互提联系单</t>
    </r>
    <r>
      <rPr>
        <sz val="12"/>
        <rFont val="Times New Roman"/>
        <family val="1"/>
      </rPr>
      <t>-</t>
    </r>
    <r>
      <rPr>
        <sz val="12"/>
        <color rgb="FFFF0000"/>
        <rFont val="Times New Roman"/>
        <family val="1"/>
      </rPr>
      <t>××</t>
    </r>
    <r>
      <rPr>
        <sz val="12"/>
        <rFont val="Times New Roman"/>
        <family val="1"/>
      </rPr>
      <t>-</t>
    </r>
    <r>
      <rPr>
        <sz val="12"/>
        <color rgb="FFFF0000"/>
        <rFont val="Times New Roman"/>
        <family val="1"/>
      </rPr>
      <t>××</t>
    </r>
    <r>
      <rPr>
        <sz val="12"/>
        <rFont val="宋体"/>
        <family val="3"/>
        <charset val="134"/>
      </rPr>
      <t>”（见附件</t>
    </r>
    <r>
      <rPr>
        <sz val="12"/>
        <color rgb="FFFF0000"/>
        <rFont val="宋体"/>
        <family val="3"/>
        <charset val="134"/>
      </rPr>
      <t>××</t>
    </r>
    <r>
      <rPr>
        <sz val="12"/>
        <rFont val="宋体"/>
        <family val="3"/>
        <charset val="134"/>
      </rPr>
      <t>）</t>
    </r>
    <r>
      <rPr>
        <sz val="12"/>
        <rFont val="Times New Roman"/>
        <family val="1"/>
      </rPr>
      <t>,</t>
    </r>
    <r>
      <rPr>
        <sz val="12"/>
        <rFont val="宋体"/>
        <family val="3"/>
        <charset val="134"/>
      </rPr>
      <t>堵头部位为</t>
    </r>
    <r>
      <rPr>
        <sz val="12"/>
        <color rgb="FFFF0000"/>
        <rFont val="Times New Roman"/>
        <family val="1"/>
      </rPr>
      <t>××</t>
    </r>
    <r>
      <rPr>
        <sz val="12"/>
        <rFont val="宋体"/>
        <family val="3"/>
        <charset val="134"/>
      </rPr>
      <t>类围岩：</t>
    </r>
    <phoneticPr fontId="24" type="noConversion"/>
  </si>
  <si>
    <r>
      <rPr>
        <sz val="12"/>
        <rFont val="宋体"/>
        <family val="3"/>
        <charset val="134"/>
      </rPr>
      <t>表</t>
    </r>
    <r>
      <rPr>
        <sz val="12"/>
        <rFont val="Times New Roman"/>
        <family val="1"/>
      </rPr>
      <t xml:space="preserve">1.4-1       </t>
    </r>
    <r>
      <rPr>
        <sz val="12"/>
        <rFont val="宋体"/>
        <family val="3"/>
        <charset val="134"/>
      </rPr>
      <t>堵头结构计算成果汇总表</t>
    </r>
    <phoneticPr fontId="24" type="noConversion"/>
  </si>
  <si>
    <r>
      <t xml:space="preserve">    根据编号“互提联系单</t>
    </r>
    <r>
      <rPr>
        <sz val="12"/>
        <rFont val="Times New Roman"/>
        <family val="1"/>
      </rPr>
      <t>-</t>
    </r>
    <r>
      <rPr>
        <sz val="12"/>
        <color rgb="FFFF0000"/>
        <rFont val="Times New Roman"/>
        <family val="1"/>
      </rPr>
      <t>××</t>
    </r>
    <r>
      <rPr>
        <sz val="12"/>
        <rFont val="Times New Roman"/>
        <family val="1"/>
      </rPr>
      <t>-</t>
    </r>
    <r>
      <rPr>
        <sz val="12"/>
        <color rgb="FFFF0000"/>
        <rFont val="Times New Roman"/>
        <family val="1"/>
      </rPr>
      <t>××</t>
    </r>
    <r>
      <rPr>
        <sz val="12"/>
        <rFont val="宋体"/>
        <family val="3"/>
        <charset val="134"/>
      </rPr>
      <t>”（见附件</t>
    </r>
    <r>
      <rPr>
        <sz val="12"/>
        <color rgb="FFFF0000"/>
        <rFont val="宋体"/>
        <family val="3"/>
        <charset val="134"/>
      </rPr>
      <t>××</t>
    </r>
    <r>
      <rPr>
        <sz val="12"/>
        <rFont val="宋体"/>
        <family val="3"/>
        <charset val="134"/>
      </rPr>
      <t>）：</t>
    </r>
    <phoneticPr fontId="24" type="noConversion"/>
  </si>
  <si>
    <r>
      <t xml:space="preserve">    </t>
    </r>
    <r>
      <rPr>
        <sz val="12"/>
        <rFont val="Times New Roman"/>
        <family val="1"/>
      </rPr>
      <t xml:space="preserve"> </t>
    </r>
    <r>
      <rPr>
        <sz val="12"/>
        <rFont val="宋体"/>
        <family val="3"/>
        <charset val="134"/>
      </rPr>
      <t>校核洪水位</t>
    </r>
    <r>
      <rPr>
        <sz val="12"/>
        <rFont val="Times New Roman"/>
        <family val="1"/>
      </rPr>
      <t>Z</t>
    </r>
    <r>
      <rPr>
        <vertAlign val="subscript"/>
        <sz val="12"/>
        <rFont val="宋体"/>
        <family val="3"/>
        <charset val="134"/>
      </rPr>
      <t>校</t>
    </r>
    <r>
      <rPr>
        <sz val="12"/>
        <rFont val="宋体"/>
        <family val="3"/>
        <charset val="134"/>
      </rPr>
      <t>=</t>
    </r>
    <phoneticPr fontId="24" type="noConversion"/>
  </si>
  <si>
    <r>
      <t>(</t>
    </r>
    <r>
      <rPr>
        <sz val="12"/>
        <rFont val="宋体"/>
        <family val="3"/>
        <charset val="134"/>
      </rPr>
      <t>水利水电工程施工组织设计手册</t>
    </r>
    <r>
      <rPr>
        <sz val="12"/>
        <rFont val="Times New Roman"/>
        <family val="1"/>
      </rPr>
      <t>1</t>
    </r>
    <r>
      <rPr>
        <sz val="12"/>
        <rFont val="宋体"/>
        <family val="3"/>
        <charset val="134"/>
      </rPr>
      <t>中式</t>
    </r>
    <r>
      <rPr>
        <sz val="12"/>
        <rFont val="Times New Roman"/>
        <family val="1"/>
      </rPr>
      <t>2-8-240</t>
    </r>
    <r>
      <rPr>
        <sz val="12"/>
        <rFont val="宋体"/>
        <family val="3"/>
        <charset val="134"/>
      </rPr>
      <t>）</t>
    </r>
    <phoneticPr fontId="24" type="noConversion"/>
  </si>
  <si>
    <r>
      <t>(</t>
    </r>
    <r>
      <rPr>
        <sz val="12"/>
        <rFont val="宋体"/>
        <family val="3"/>
        <charset val="134"/>
      </rPr>
      <t>水利水电工程施工组织设计手册</t>
    </r>
    <r>
      <rPr>
        <sz val="12"/>
        <rFont val="Times New Roman"/>
        <family val="1"/>
      </rPr>
      <t>1</t>
    </r>
    <r>
      <rPr>
        <sz val="12"/>
        <rFont val="宋体"/>
        <family val="3"/>
        <charset val="134"/>
      </rPr>
      <t>中式</t>
    </r>
    <r>
      <rPr>
        <sz val="12"/>
        <rFont val="Times New Roman"/>
        <family val="1"/>
      </rPr>
      <t>2-8-241</t>
    </r>
    <r>
      <rPr>
        <sz val="12"/>
        <rFont val="宋体"/>
        <family val="3"/>
        <charset val="134"/>
      </rPr>
      <t>）</t>
    </r>
    <phoneticPr fontId="24" type="noConversion"/>
  </si>
  <si>
    <r>
      <t>K</t>
    </r>
    <r>
      <rPr>
        <sz val="12"/>
        <rFont val="宋体"/>
        <family val="3"/>
        <charset val="134"/>
      </rPr>
      <t>：安全系数，可取</t>
    </r>
    <r>
      <rPr>
        <sz val="12"/>
        <rFont val="Times New Roman"/>
        <family val="1"/>
      </rPr>
      <t>2.3</t>
    </r>
    <r>
      <rPr>
        <sz val="12"/>
        <rFont val="宋体"/>
        <family val="3"/>
        <charset val="134"/>
      </rPr>
      <t>～</t>
    </r>
    <r>
      <rPr>
        <sz val="12"/>
        <rFont val="Times New Roman"/>
        <family val="1"/>
      </rPr>
      <t>3.0</t>
    </r>
    <r>
      <rPr>
        <sz val="12"/>
        <rFont val="宋体"/>
        <family val="3"/>
        <charset val="134"/>
      </rPr>
      <t>，取</t>
    </r>
    <r>
      <rPr>
        <sz val="12"/>
        <rFont val="Times New Roman"/>
        <family val="1"/>
      </rPr>
      <t>K=</t>
    </r>
    <phoneticPr fontId="24" type="noConversion"/>
  </si>
  <si>
    <r>
      <t>K</t>
    </r>
    <r>
      <rPr>
        <vertAlign val="subscript"/>
        <sz val="12"/>
        <rFont val="Times New Roman"/>
        <family val="1"/>
      </rPr>
      <t>1</t>
    </r>
    <r>
      <rPr>
        <sz val="12"/>
        <rFont val="宋体"/>
        <family val="3"/>
        <charset val="134"/>
      </rPr>
      <t>：摩擦力的安全系数，可取</t>
    </r>
    <r>
      <rPr>
        <sz val="12"/>
        <rFont val="Times New Roman"/>
        <family val="1"/>
      </rPr>
      <t>1.05</t>
    </r>
    <r>
      <rPr>
        <sz val="12"/>
        <rFont val="宋体"/>
        <family val="3"/>
        <charset val="134"/>
      </rPr>
      <t>～</t>
    </r>
    <r>
      <rPr>
        <sz val="12"/>
        <rFont val="Times New Roman"/>
        <family val="1"/>
      </rPr>
      <t>1.15</t>
    </r>
    <r>
      <rPr>
        <sz val="12"/>
        <rFont val="宋体"/>
        <family val="3"/>
        <charset val="134"/>
      </rPr>
      <t>，取</t>
    </r>
    <r>
      <rPr>
        <sz val="12"/>
        <rFont val="Times New Roman"/>
        <family val="1"/>
      </rPr>
      <t>K</t>
    </r>
    <r>
      <rPr>
        <vertAlign val="subscript"/>
        <sz val="12"/>
        <rFont val="Times New Roman"/>
        <family val="1"/>
      </rPr>
      <t>1</t>
    </r>
    <r>
      <rPr>
        <sz val="12"/>
        <rFont val="Times New Roman"/>
        <family val="1"/>
      </rPr>
      <t>=</t>
    </r>
    <phoneticPr fontId="24" type="noConversion"/>
  </si>
  <si>
    <r>
      <t>K</t>
    </r>
    <r>
      <rPr>
        <vertAlign val="subscript"/>
        <sz val="12"/>
        <rFont val="Times New Roman"/>
        <family val="1"/>
      </rPr>
      <t>2</t>
    </r>
    <r>
      <rPr>
        <sz val="12"/>
        <rFont val="宋体"/>
        <family val="3"/>
        <charset val="134"/>
      </rPr>
      <t>：凝聚力的安全系数，建议用</t>
    </r>
    <r>
      <rPr>
        <sz val="12"/>
        <rFont val="Times New Roman"/>
        <family val="1"/>
      </rPr>
      <t>4</t>
    </r>
    <r>
      <rPr>
        <sz val="12"/>
        <rFont val="宋体"/>
        <family val="3"/>
        <charset val="134"/>
      </rPr>
      <t>～</t>
    </r>
    <r>
      <rPr>
        <sz val="12"/>
        <rFont val="Times New Roman"/>
        <family val="1"/>
      </rPr>
      <t>6</t>
    </r>
    <r>
      <rPr>
        <sz val="12"/>
        <rFont val="宋体"/>
        <family val="3"/>
        <charset val="134"/>
      </rPr>
      <t>，取</t>
    </r>
    <r>
      <rPr>
        <sz val="12"/>
        <rFont val="Times New Roman"/>
        <family val="1"/>
      </rPr>
      <t>K</t>
    </r>
    <r>
      <rPr>
        <vertAlign val="subscript"/>
        <sz val="12"/>
        <rFont val="Times New Roman"/>
        <family val="1"/>
      </rPr>
      <t>2</t>
    </r>
    <r>
      <rPr>
        <sz val="12"/>
        <rFont val="Times New Roman"/>
        <family val="1"/>
      </rPr>
      <t>=</t>
    </r>
    <phoneticPr fontId="24" type="noConversion"/>
  </si>
  <si>
    <r>
      <t>L</t>
    </r>
    <r>
      <rPr>
        <sz val="12"/>
        <rFont val="宋体"/>
        <family val="3"/>
        <charset val="134"/>
      </rPr>
      <t>、</t>
    </r>
    <r>
      <rPr>
        <sz val="12"/>
        <rFont val="Times New Roman"/>
        <family val="1"/>
      </rPr>
      <t>A</t>
    </r>
    <r>
      <rPr>
        <sz val="12"/>
        <rFont val="宋体"/>
        <family val="3"/>
        <charset val="134"/>
      </rPr>
      <t>、</t>
    </r>
    <r>
      <rPr>
        <sz val="12"/>
        <rFont val="Times New Roman"/>
        <family val="1"/>
      </rPr>
      <t>S</t>
    </r>
    <r>
      <rPr>
        <sz val="12"/>
        <rFont val="宋体"/>
        <family val="3"/>
        <charset val="134"/>
      </rPr>
      <t>：堵头长度、断面面积、断面周长；</t>
    </r>
    <phoneticPr fontId="24" type="noConversion"/>
  </si>
  <si>
    <r>
      <t>γ</t>
    </r>
    <r>
      <rPr>
        <sz val="12"/>
        <rFont val="宋体"/>
        <family val="3"/>
        <charset val="134"/>
      </rPr>
      <t>：混凝土容重；取</t>
    </r>
    <r>
      <rPr>
        <sz val="12"/>
        <rFont val="Times New Roman"/>
        <family val="1"/>
      </rPr>
      <t>γ=</t>
    </r>
    <phoneticPr fontId="24" type="noConversion"/>
  </si>
  <si>
    <r>
      <t>f</t>
    </r>
    <r>
      <rPr>
        <sz val="12"/>
        <rFont val="宋体"/>
        <family val="3"/>
        <charset val="134"/>
      </rPr>
      <t>：混凝土与岩石的摩擦系数；取</t>
    </r>
    <r>
      <rPr>
        <sz val="12"/>
        <rFont val="Times New Roman"/>
        <family val="1"/>
      </rPr>
      <t>f=</t>
    </r>
    <phoneticPr fontId="24" type="noConversion"/>
  </si>
  <si>
    <r>
      <t>C</t>
    </r>
    <r>
      <rPr>
        <sz val="12"/>
        <rFont val="宋体"/>
        <family val="3"/>
        <charset val="134"/>
      </rPr>
      <t>：混凝土与岩石接触面的抗剪断凝聚力；</t>
    </r>
    <r>
      <rPr>
        <sz val="12"/>
        <rFont val="Times New Roman"/>
        <family val="1"/>
      </rPr>
      <t>C=</t>
    </r>
    <phoneticPr fontId="24" type="noConversion"/>
  </si>
  <si>
    <r>
      <t xml:space="preserve">       1</t>
    </r>
    <r>
      <rPr>
        <sz val="12"/>
        <rFont val="宋体"/>
        <family val="3"/>
        <charset val="134"/>
      </rPr>
      <t>）</t>
    </r>
    <r>
      <rPr>
        <sz val="12"/>
        <rFont val="Times New Roman"/>
        <family val="1"/>
      </rPr>
      <t xml:space="preserve"> </t>
    </r>
    <r>
      <rPr>
        <sz val="12"/>
        <rFont val="宋体"/>
        <family val="3"/>
        <charset val="134"/>
      </rPr>
      <t>设计洪水位下长度估算</t>
    </r>
    <phoneticPr fontId="24" type="noConversion"/>
  </si>
  <si>
    <r>
      <t>P</t>
    </r>
    <r>
      <rPr>
        <vertAlign val="subscript"/>
        <sz val="12"/>
        <rFont val="Times New Roman"/>
        <family val="1"/>
      </rPr>
      <t>2</t>
    </r>
    <r>
      <rPr>
        <sz val="12"/>
        <rFont val="Times New Roman"/>
        <family val="1"/>
      </rPr>
      <t>=</t>
    </r>
    <phoneticPr fontId="24" type="noConversion"/>
  </si>
  <si>
    <r>
      <t>P</t>
    </r>
    <r>
      <rPr>
        <vertAlign val="subscript"/>
        <sz val="12"/>
        <rFont val="Times New Roman"/>
        <family val="1"/>
      </rPr>
      <t>3</t>
    </r>
    <r>
      <rPr>
        <sz val="12"/>
        <rFont val="Times New Roman"/>
        <family val="1"/>
      </rPr>
      <t>=</t>
    </r>
    <phoneticPr fontId="24" type="noConversion"/>
  </si>
  <si>
    <r>
      <rPr>
        <sz val="12"/>
        <rFont val="Times New Roman"/>
        <family val="1"/>
      </rPr>
      <t xml:space="preserve">        </t>
    </r>
    <r>
      <rPr>
        <sz val="12"/>
        <rFont val="宋体"/>
        <family val="3"/>
        <charset val="134"/>
      </rPr>
      <t>结构重要性系数</t>
    </r>
    <r>
      <rPr>
        <sz val="12"/>
        <rFont val="Times New Roman"/>
        <family val="1"/>
      </rPr>
      <t>γ</t>
    </r>
    <r>
      <rPr>
        <vertAlign val="subscript"/>
        <sz val="12"/>
        <rFont val="Times New Roman"/>
        <family val="1"/>
      </rPr>
      <t>0</t>
    </r>
    <r>
      <rPr>
        <sz val="12"/>
        <rFont val="Times New Roman"/>
        <family val="1"/>
      </rPr>
      <t>=</t>
    </r>
    <phoneticPr fontId="24" type="noConversion"/>
  </si>
  <si>
    <r>
      <t xml:space="preserve">    设计状况系数</t>
    </r>
    <r>
      <rPr>
        <sz val="12"/>
        <rFont val="Times New Roman"/>
        <family val="1"/>
      </rPr>
      <t>Ψ</t>
    </r>
    <r>
      <rPr>
        <sz val="12"/>
        <rFont val="宋体"/>
        <family val="3"/>
        <charset val="134"/>
      </rPr>
      <t>＝</t>
    </r>
    <phoneticPr fontId="24" type="noConversion"/>
  </si>
  <si>
    <r>
      <rPr>
        <sz val="12"/>
        <rFont val="Times New Roman"/>
        <family val="1"/>
      </rPr>
      <t xml:space="preserve">        </t>
    </r>
    <r>
      <rPr>
        <sz val="12"/>
        <rFont val="宋体"/>
        <family val="3"/>
        <charset val="134"/>
      </rPr>
      <t>其他系数如下：</t>
    </r>
    <phoneticPr fontId="24" type="noConversion"/>
  </si>
  <si>
    <r>
      <rPr>
        <sz val="12"/>
        <rFont val="Times New Roman"/>
        <family val="1"/>
      </rPr>
      <t xml:space="preserve">                  </t>
    </r>
    <r>
      <rPr>
        <sz val="12"/>
        <rFont val="宋体"/>
        <family val="3"/>
        <charset val="134"/>
      </rPr>
      <t>根据</t>
    </r>
    <r>
      <rPr>
        <sz val="12"/>
        <rFont val="Times New Roman"/>
        <family val="1"/>
      </rPr>
      <t xml:space="preserve"> NB/T 35026-2022</t>
    </r>
    <r>
      <rPr>
        <sz val="12"/>
        <rFont val="宋体"/>
        <family val="3"/>
        <charset val="134"/>
      </rPr>
      <t>《混凝土重力坝设计规范》，取：</t>
    </r>
    <phoneticPr fontId="24" type="noConversion"/>
  </si>
  <si>
    <r>
      <t xml:space="preserve">                  </t>
    </r>
    <r>
      <rPr>
        <sz val="12"/>
        <rFont val="宋体"/>
        <family val="3"/>
        <charset val="134"/>
      </rPr>
      <t>水压力作用分项系数</t>
    </r>
    <r>
      <rPr>
        <sz val="12"/>
        <rFont val="Times New Roman"/>
        <family val="1"/>
      </rPr>
      <t>γ</t>
    </r>
    <r>
      <rPr>
        <vertAlign val="subscript"/>
        <sz val="12"/>
        <rFont val="Times New Roman"/>
        <family val="1"/>
      </rPr>
      <t>P</t>
    </r>
    <r>
      <rPr>
        <sz val="12"/>
        <rFont val="Times New Roman"/>
        <family val="1"/>
      </rPr>
      <t>=</t>
    </r>
    <phoneticPr fontId="24" type="noConversion"/>
  </si>
  <si>
    <r>
      <rPr>
        <sz val="12"/>
        <rFont val="Times New Roman"/>
        <family val="1"/>
      </rPr>
      <t xml:space="preserve">                  </t>
    </r>
    <r>
      <rPr>
        <sz val="12"/>
        <rFont val="宋体"/>
        <family val="3"/>
        <charset val="134"/>
      </rPr>
      <t>基本组合结构系数</t>
    </r>
    <r>
      <rPr>
        <sz val="12"/>
        <rFont val="Times New Roman"/>
        <family val="1"/>
      </rPr>
      <t>γ</t>
    </r>
    <r>
      <rPr>
        <vertAlign val="subscript"/>
        <sz val="12"/>
        <rFont val="Times New Roman"/>
        <family val="1"/>
      </rPr>
      <t>d</t>
    </r>
    <r>
      <rPr>
        <sz val="12"/>
        <rFont val="宋体"/>
        <family val="3"/>
        <charset val="134"/>
      </rPr>
      <t>＝</t>
    </r>
    <phoneticPr fontId="24" type="noConversion"/>
  </si>
  <si>
    <r>
      <rPr>
        <sz val="12"/>
        <rFont val="Times New Roman"/>
        <family val="1"/>
      </rPr>
      <t xml:space="preserve">                  </t>
    </r>
    <r>
      <rPr>
        <sz val="12"/>
        <rFont val="宋体"/>
        <family val="3"/>
        <charset val="134"/>
      </rPr>
      <t>根据</t>
    </r>
    <r>
      <rPr>
        <sz val="12"/>
        <rFont val="Times New Roman"/>
        <family val="1"/>
      </rPr>
      <t xml:space="preserve"> NB 35047-2015</t>
    </r>
    <r>
      <rPr>
        <sz val="12"/>
        <rFont val="宋体"/>
        <family val="3"/>
        <charset val="134"/>
      </rPr>
      <t>《水电工程水工建筑物抗震设计规范》，取：</t>
    </r>
    <phoneticPr fontId="24" type="noConversion"/>
  </si>
  <si>
    <r>
      <t xml:space="preserve">                  </t>
    </r>
    <r>
      <rPr>
        <sz val="12"/>
        <rFont val="宋体"/>
        <family val="3"/>
        <charset val="134"/>
      </rPr>
      <t>水压力作用分项系数</t>
    </r>
    <r>
      <rPr>
        <sz val="12"/>
        <rFont val="Times New Roman"/>
        <family val="1"/>
      </rPr>
      <t>γ</t>
    </r>
    <r>
      <rPr>
        <vertAlign val="subscript"/>
        <sz val="12"/>
        <rFont val="Times New Roman"/>
        <family val="1"/>
      </rPr>
      <t>Pd</t>
    </r>
    <r>
      <rPr>
        <sz val="12"/>
        <rFont val="Times New Roman"/>
        <family val="1"/>
      </rPr>
      <t>=</t>
    </r>
    <phoneticPr fontId="24" type="noConversion"/>
  </si>
  <si>
    <r>
      <t xml:space="preserve">                  </t>
    </r>
    <r>
      <rPr>
        <sz val="12"/>
        <rFont val="宋体"/>
        <family val="3"/>
        <charset val="134"/>
      </rPr>
      <t>地震作用分项系数</t>
    </r>
    <r>
      <rPr>
        <sz val="12"/>
        <rFont val="Times New Roman"/>
        <family val="1"/>
      </rPr>
      <t>γ</t>
    </r>
    <r>
      <rPr>
        <vertAlign val="subscript"/>
        <sz val="12"/>
        <rFont val="Times New Roman"/>
        <family val="1"/>
      </rPr>
      <t>E</t>
    </r>
    <r>
      <rPr>
        <sz val="12"/>
        <rFont val="Times New Roman"/>
        <family val="1"/>
      </rPr>
      <t>=</t>
    </r>
    <phoneticPr fontId="24" type="noConversion"/>
  </si>
  <si>
    <r>
      <rPr>
        <sz val="12"/>
        <rFont val="Times New Roman"/>
        <family val="1"/>
      </rPr>
      <t xml:space="preserve">                  </t>
    </r>
    <r>
      <rPr>
        <sz val="12"/>
        <rFont val="宋体"/>
        <family val="3"/>
        <charset val="134"/>
      </rPr>
      <t>抗震设计结构系数</t>
    </r>
    <r>
      <rPr>
        <sz val="12"/>
        <rFont val="Times New Roman"/>
        <family val="1"/>
      </rPr>
      <t>γ</t>
    </r>
    <r>
      <rPr>
        <vertAlign val="subscript"/>
        <sz val="12"/>
        <rFont val="Times New Roman"/>
        <family val="1"/>
      </rPr>
      <t>dd</t>
    </r>
    <r>
      <rPr>
        <sz val="12"/>
        <rFont val="宋体"/>
        <family val="3"/>
        <charset val="134"/>
      </rPr>
      <t>＝</t>
    </r>
    <phoneticPr fontId="24" type="noConversion"/>
  </si>
  <si>
    <r>
      <rPr>
        <sz val="12"/>
        <rFont val="Times New Roman"/>
        <family val="1"/>
      </rPr>
      <t xml:space="preserve">        </t>
    </r>
    <r>
      <rPr>
        <sz val="12"/>
        <rFont val="宋体"/>
        <family val="3"/>
        <charset val="134"/>
      </rPr>
      <t>计入</t>
    </r>
    <r>
      <rPr>
        <sz val="12"/>
        <rFont val="Times New Roman"/>
        <family val="1"/>
      </rPr>
      <t>C</t>
    </r>
    <r>
      <rPr>
        <sz val="12"/>
        <rFont val="宋体"/>
        <family val="3"/>
        <charset val="134"/>
      </rPr>
      <t>值有效周长=</t>
    </r>
    <phoneticPr fontId="24" type="noConversion"/>
  </si>
  <si>
    <r>
      <rPr>
        <sz val="12"/>
        <rFont val="Times New Roman"/>
        <family val="1"/>
      </rPr>
      <t xml:space="preserve">        </t>
    </r>
    <r>
      <rPr>
        <sz val="12"/>
        <rFont val="宋体"/>
        <family val="3"/>
        <charset val="134"/>
      </rPr>
      <t>堵头计入</t>
    </r>
    <r>
      <rPr>
        <sz val="12"/>
        <rFont val="Times New Roman"/>
        <family val="1"/>
      </rPr>
      <t>C</t>
    </r>
    <r>
      <rPr>
        <sz val="12"/>
        <rFont val="宋体"/>
        <family val="3"/>
        <charset val="134"/>
      </rPr>
      <t>值的有效面积</t>
    </r>
    <r>
      <rPr>
        <sz val="12"/>
        <rFont val="Times New Roman"/>
        <family val="1"/>
      </rPr>
      <t>A</t>
    </r>
    <r>
      <rPr>
        <vertAlign val="subscript"/>
        <sz val="12"/>
        <rFont val="Times New Roman"/>
        <family val="1"/>
      </rPr>
      <t>R</t>
    </r>
    <r>
      <rPr>
        <sz val="12"/>
        <rFont val="Times New Roman"/>
        <family val="1"/>
      </rPr>
      <t>=</t>
    </r>
    <phoneticPr fontId="24" type="noConversion"/>
  </si>
  <si>
    <r>
      <rPr>
        <sz val="12"/>
        <rFont val="Times New Roman"/>
        <family val="1"/>
      </rPr>
      <t xml:space="preserve">        </t>
    </r>
    <r>
      <rPr>
        <sz val="12"/>
        <rFont val="宋体"/>
        <family val="3"/>
        <charset val="134"/>
      </rPr>
      <t>堵头总自重</t>
    </r>
    <r>
      <rPr>
        <sz val="12"/>
        <rFont val="Times New Roman"/>
        <family val="1"/>
      </rPr>
      <t>G</t>
    </r>
    <r>
      <rPr>
        <sz val="12"/>
        <rFont val="宋体"/>
        <family val="3"/>
        <charset val="134"/>
      </rPr>
      <t>=(ωL-ω</t>
    </r>
    <r>
      <rPr>
        <vertAlign val="subscript"/>
        <sz val="12"/>
        <rFont val="宋体"/>
        <family val="3"/>
        <charset val="134"/>
      </rPr>
      <t>廊</t>
    </r>
    <r>
      <rPr>
        <sz val="12"/>
        <rFont val="宋体"/>
        <family val="3"/>
        <charset val="134"/>
      </rPr>
      <t>L</t>
    </r>
    <r>
      <rPr>
        <vertAlign val="subscript"/>
        <sz val="12"/>
        <rFont val="宋体"/>
        <family val="3"/>
        <charset val="134"/>
      </rPr>
      <t>廊</t>
    </r>
    <r>
      <rPr>
        <sz val="12"/>
        <rFont val="宋体"/>
        <family val="3"/>
        <charset val="134"/>
      </rPr>
      <t>)γ</t>
    </r>
    <r>
      <rPr>
        <vertAlign val="subscript"/>
        <sz val="12"/>
        <rFont val="宋体"/>
        <family val="3"/>
        <charset val="134"/>
      </rPr>
      <t>c</t>
    </r>
    <r>
      <rPr>
        <sz val="12"/>
        <rFont val="宋体"/>
        <family val="3"/>
        <charset val="134"/>
      </rPr>
      <t>=</t>
    </r>
    <phoneticPr fontId="24" type="noConversion"/>
  </si>
  <si>
    <r>
      <rPr>
        <sz val="12"/>
        <rFont val="Times New Roman"/>
        <family val="1"/>
      </rPr>
      <t>cosθ=</t>
    </r>
    <phoneticPr fontId="24" type="noConversion"/>
  </si>
  <si>
    <r>
      <rPr>
        <sz val="12"/>
        <rFont val="Times New Roman"/>
        <family val="1"/>
      </rPr>
      <t>sinθ=</t>
    </r>
    <phoneticPr fontId="24" type="noConversion"/>
  </si>
  <si>
    <r>
      <t>γ</t>
    </r>
    <r>
      <rPr>
        <vertAlign val="subscript"/>
        <sz val="12"/>
        <rFont val="Times New Roman"/>
        <family val="1"/>
      </rPr>
      <t>0</t>
    </r>
    <r>
      <rPr>
        <sz val="12"/>
        <rFont val="Times New Roman"/>
        <family val="1"/>
      </rPr>
      <t>ΨS(.)=</t>
    </r>
    <phoneticPr fontId="24" type="noConversion"/>
  </si>
  <si>
    <r>
      <t>R(.)/</t>
    </r>
    <r>
      <rPr>
        <sz val="12"/>
        <rFont val="宋体"/>
        <family val="3"/>
        <charset val="134"/>
      </rPr>
      <t>γ</t>
    </r>
    <r>
      <rPr>
        <vertAlign val="subscript"/>
        <sz val="12"/>
        <rFont val="Times New Roman"/>
        <family val="1"/>
      </rPr>
      <t>d</t>
    </r>
    <r>
      <rPr>
        <sz val="12"/>
        <rFont val="Times New Roman"/>
        <family val="1"/>
      </rPr>
      <t>=</t>
    </r>
    <phoneticPr fontId="24" type="noConversion"/>
  </si>
  <si>
    <r>
      <rPr>
        <sz val="12"/>
        <rFont val="Times New Roman"/>
        <family val="1"/>
      </rPr>
      <t xml:space="preserve">        </t>
    </r>
    <r>
      <rPr>
        <sz val="12"/>
        <rFont val="宋体"/>
        <family val="3"/>
        <charset val="134"/>
      </rPr>
      <t>堵头总自重</t>
    </r>
    <r>
      <rPr>
        <sz val="12"/>
        <rFont val="Times New Roman"/>
        <family val="1"/>
      </rPr>
      <t>G</t>
    </r>
    <r>
      <rPr>
        <sz val="12"/>
        <rFont val="宋体"/>
        <family val="3"/>
        <charset val="134"/>
      </rPr>
      <t>=</t>
    </r>
    <phoneticPr fontId="24" type="noConversion"/>
  </si>
  <si>
    <r>
      <rPr>
        <sz val="12"/>
        <rFont val="Times New Roman"/>
        <family val="1"/>
      </rPr>
      <t xml:space="preserve">        1</t>
    </r>
    <r>
      <rPr>
        <sz val="12"/>
        <rFont val="宋体"/>
        <family val="3"/>
        <charset val="134"/>
      </rPr>
      <t>）堵头总自重</t>
    </r>
    <r>
      <rPr>
        <sz val="12"/>
        <rFont val="Times New Roman"/>
        <family val="1"/>
      </rPr>
      <t>G</t>
    </r>
    <r>
      <rPr>
        <sz val="12"/>
        <rFont val="宋体"/>
        <family val="3"/>
        <charset val="134"/>
      </rPr>
      <t>=</t>
    </r>
    <phoneticPr fontId="24" type="noConversion"/>
  </si>
  <si>
    <r>
      <rPr>
        <sz val="12"/>
        <rFont val="Times New Roman"/>
        <family val="1"/>
      </rPr>
      <t xml:space="preserve">        2</t>
    </r>
    <r>
      <rPr>
        <sz val="12"/>
        <rFont val="宋体"/>
        <family val="3"/>
        <charset val="134"/>
      </rPr>
      <t>）地震作用效应</t>
    </r>
    <phoneticPr fontId="24" type="noConversion"/>
  </si>
  <si>
    <r>
      <t xml:space="preserve">            </t>
    </r>
    <r>
      <rPr>
        <sz val="12"/>
        <rFont val="宋体"/>
        <family val="3"/>
        <charset val="134"/>
      </rPr>
      <t>本烈度基础上提高</t>
    </r>
    <r>
      <rPr>
        <sz val="12"/>
        <rFont val="Times New Roman"/>
        <family val="1"/>
      </rPr>
      <t>1</t>
    </r>
    <r>
      <rPr>
        <sz val="12"/>
        <rFont val="宋体"/>
        <family val="3"/>
        <charset val="134"/>
      </rPr>
      <t>度作为设计烈度，设计水平向地震动峰值加速度代表值相应增加</t>
    </r>
    <r>
      <rPr>
        <sz val="12"/>
        <rFont val="Times New Roman"/>
        <family val="1"/>
      </rPr>
      <t>1</t>
    </r>
    <r>
      <rPr>
        <sz val="12"/>
        <rFont val="宋体"/>
        <family val="3"/>
        <charset val="134"/>
      </rPr>
      <t>倍。</t>
    </r>
    <phoneticPr fontId="24" type="noConversion"/>
  </si>
  <si>
    <r>
      <t xml:space="preserve">       </t>
    </r>
    <r>
      <rPr>
        <sz val="12"/>
        <rFont val="宋体"/>
        <family val="3"/>
        <charset val="134"/>
      </rPr>
      <t>（</t>
    </r>
    <r>
      <rPr>
        <sz val="12"/>
        <rFont val="Times New Roman"/>
        <family val="1"/>
      </rPr>
      <t>1</t>
    </r>
    <r>
      <rPr>
        <sz val="12"/>
        <rFont val="宋体"/>
        <family val="3"/>
        <charset val="134"/>
      </rPr>
      <t>）封堵体水平向地震惯性力</t>
    </r>
    <phoneticPr fontId="24" type="noConversion"/>
  </si>
  <si>
    <r>
      <t xml:space="preserve">        </t>
    </r>
    <r>
      <rPr>
        <sz val="12"/>
        <rFont val="宋体"/>
        <family val="3"/>
        <charset val="134"/>
      </rPr>
      <t>封堵体水平向地震惯性力代表值</t>
    </r>
    <r>
      <rPr>
        <sz val="12"/>
        <rFont val="Times New Roman"/>
        <family val="1"/>
      </rPr>
      <t>E</t>
    </r>
    <r>
      <rPr>
        <vertAlign val="subscript"/>
        <sz val="12"/>
        <rFont val="Times New Roman"/>
        <family val="1"/>
      </rPr>
      <t>i</t>
    </r>
    <r>
      <rPr>
        <sz val="12"/>
        <rFont val="Times New Roman"/>
        <family val="1"/>
      </rPr>
      <t>=a</t>
    </r>
    <r>
      <rPr>
        <vertAlign val="subscript"/>
        <sz val="12"/>
        <rFont val="Times New Roman"/>
        <family val="1"/>
      </rPr>
      <t>h</t>
    </r>
    <r>
      <rPr>
        <sz val="12"/>
        <rFont val="Times New Roman"/>
        <family val="1"/>
      </rPr>
      <t>ζG</t>
    </r>
    <r>
      <rPr>
        <vertAlign val="subscript"/>
        <sz val="12"/>
        <rFont val="Times New Roman"/>
        <family val="1"/>
      </rPr>
      <t>Ei</t>
    </r>
    <r>
      <rPr>
        <sz val="12"/>
        <rFont val="Times New Roman"/>
        <family val="1"/>
      </rPr>
      <t>α</t>
    </r>
    <r>
      <rPr>
        <vertAlign val="subscript"/>
        <sz val="12"/>
        <rFont val="Times New Roman"/>
        <family val="1"/>
      </rPr>
      <t>i</t>
    </r>
    <r>
      <rPr>
        <sz val="12"/>
        <rFont val="Times New Roman"/>
        <family val="1"/>
      </rPr>
      <t>/g</t>
    </r>
    <phoneticPr fontId="24" type="noConversion"/>
  </si>
  <si>
    <r>
      <t xml:space="preserve">        </t>
    </r>
    <r>
      <rPr>
        <sz val="12"/>
        <rFont val="宋体"/>
        <family val="3"/>
        <charset val="134"/>
      </rPr>
      <t>堵头总重力作用标准值G</t>
    </r>
    <r>
      <rPr>
        <vertAlign val="subscript"/>
        <sz val="12"/>
        <rFont val="宋体"/>
        <family val="3"/>
        <charset val="134"/>
      </rPr>
      <t>E</t>
    </r>
    <r>
      <rPr>
        <sz val="12"/>
        <rFont val="Times New Roman"/>
        <family val="1"/>
      </rPr>
      <t>=</t>
    </r>
    <phoneticPr fontId="24" type="noConversion"/>
  </si>
  <si>
    <r>
      <t xml:space="preserve">        </t>
    </r>
    <r>
      <rPr>
        <sz val="12"/>
        <rFont val="宋体"/>
        <family val="3"/>
        <charset val="134"/>
      </rPr>
      <t>堵头水平向地震惯性力</t>
    </r>
    <r>
      <rPr>
        <sz val="12"/>
        <rFont val="Times New Roman"/>
        <family val="1"/>
      </rPr>
      <t>E</t>
    </r>
    <r>
      <rPr>
        <vertAlign val="subscript"/>
        <sz val="12"/>
        <rFont val="宋体"/>
        <family val="3"/>
        <charset val="134"/>
      </rPr>
      <t>i</t>
    </r>
    <r>
      <rPr>
        <sz val="12"/>
        <rFont val="Times New Roman"/>
        <family val="1"/>
      </rPr>
      <t>=a</t>
    </r>
    <r>
      <rPr>
        <vertAlign val="subscript"/>
        <sz val="12"/>
        <rFont val="Times New Roman"/>
        <family val="1"/>
      </rPr>
      <t>h</t>
    </r>
    <r>
      <rPr>
        <sz val="12"/>
        <rFont val="Times New Roman"/>
        <family val="1"/>
      </rPr>
      <t>ζG</t>
    </r>
    <r>
      <rPr>
        <vertAlign val="subscript"/>
        <sz val="12"/>
        <rFont val="宋体"/>
        <family val="3"/>
        <charset val="134"/>
      </rPr>
      <t>E</t>
    </r>
    <r>
      <rPr>
        <sz val="12"/>
        <rFont val="Times New Roman"/>
        <family val="1"/>
      </rPr>
      <t>α</t>
    </r>
    <r>
      <rPr>
        <vertAlign val="subscript"/>
        <sz val="12"/>
        <rFont val="宋体"/>
        <family val="3"/>
        <charset val="134"/>
      </rPr>
      <t>i</t>
    </r>
    <r>
      <rPr>
        <sz val="12"/>
        <rFont val="Times New Roman"/>
        <family val="1"/>
      </rPr>
      <t>/g=</t>
    </r>
    <phoneticPr fontId="24" type="noConversion"/>
  </si>
  <si>
    <r>
      <t xml:space="preserve">        </t>
    </r>
    <r>
      <rPr>
        <sz val="12"/>
        <rFont val="宋体"/>
        <family val="3"/>
        <charset val="134"/>
      </rPr>
      <t>水深</t>
    </r>
    <r>
      <rPr>
        <sz val="12"/>
        <rFont val="Times New Roman"/>
        <family val="1"/>
      </rPr>
      <t>h</t>
    </r>
    <r>
      <rPr>
        <sz val="12"/>
        <rFont val="宋体"/>
        <family val="3"/>
        <charset val="134"/>
      </rPr>
      <t>处地震动水压力代表值按</t>
    </r>
    <r>
      <rPr>
        <sz val="12"/>
        <rFont val="Times New Roman"/>
        <family val="1"/>
      </rPr>
      <t>P</t>
    </r>
    <r>
      <rPr>
        <vertAlign val="subscript"/>
        <sz val="12"/>
        <rFont val="Times New Roman"/>
        <family val="1"/>
      </rPr>
      <t>w</t>
    </r>
    <r>
      <rPr>
        <sz val="12"/>
        <rFont val="宋体"/>
        <family val="3"/>
        <charset val="134"/>
      </rPr>
      <t>（</t>
    </r>
    <r>
      <rPr>
        <sz val="12"/>
        <rFont val="Times New Roman"/>
        <family val="1"/>
      </rPr>
      <t>h</t>
    </r>
    <r>
      <rPr>
        <sz val="12"/>
        <rFont val="宋体"/>
        <family val="3"/>
        <charset val="134"/>
      </rPr>
      <t>）</t>
    </r>
    <r>
      <rPr>
        <sz val="12"/>
        <rFont val="Times New Roman"/>
        <family val="1"/>
      </rPr>
      <t>=a</t>
    </r>
    <r>
      <rPr>
        <vertAlign val="subscript"/>
        <sz val="12"/>
        <rFont val="Times New Roman"/>
        <family val="1"/>
      </rPr>
      <t>h</t>
    </r>
    <r>
      <rPr>
        <sz val="12"/>
        <rFont val="Times New Roman"/>
        <family val="1"/>
      </rPr>
      <t>ζΨ(h)ρ</t>
    </r>
    <r>
      <rPr>
        <vertAlign val="subscript"/>
        <sz val="12"/>
        <rFont val="Times New Roman"/>
        <family val="1"/>
      </rPr>
      <t>w</t>
    </r>
    <r>
      <rPr>
        <sz val="12"/>
        <rFont val="Times New Roman"/>
        <family val="1"/>
      </rPr>
      <t xml:space="preserve"> H</t>
    </r>
    <r>
      <rPr>
        <vertAlign val="subscript"/>
        <sz val="12"/>
        <rFont val="Times New Roman"/>
        <family val="1"/>
      </rPr>
      <t>0</t>
    </r>
    <r>
      <rPr>
        <sz val="12"/>
        <rFont val="宋体"/>
        <family val="3"/>
        <charset val="134"/>
      </rPr>
      <t>计算</t>
    </r>
    <phoneticPr fontId="24" type="noConversion"/>
  </si>
  <si>
    <r>
      <t>Ψ(h)</t>
    </r>
    <r>
      <rPr>
        <sz val="12"/>
        <rFont val="宋体"/>
        <family val="3"/>
        <charset val="134"/>
      </rPr>
      <t>为水深</t>
    </r>
    <r>
      <rPr>
        <sz val="12"/>
        <rFont val="Times New Roman"/>
        <family val="1"/>
      </rPr>
      <t>h</t>
    </r>
    <r>
      <rPr>
        <sz val="12"/>
        <rFont val="宋体"/>
        <family val="3"/>
        <charset val="134"/>
      </rPr>
      <t>处的地震动水压力分布系数，参照重力坝查</t>
    </r>
    <r>
      <rPr>
        <sz val="12"/>
        <rFont val="Times New Roman"/>
        <family val="1"/>
      </rPr>
      <t>NB 35047-2015</t>
    </r>
    <r>
      <rPr>
        <sz val="12"/>
        <rFont val="宋体"/>
        <family val="3"/>
        <charset val="134"/>
      </rPr>
      <t>表</t>
    </r>
    <r>
      <rPr>
        <sz val="12"/>
        <rFont val="Times New Roman"/>
        <family val="1"/>
      </rPr>
      <t>7.1.12</t>
    </r>
    <r>
      <rPr>
        <sz val="12"/>
        <rFont val="宋体"/>
        <family val="3"/>
        <charset val="134"/>
      </rPr>
      <t>；</t>
    </r>
    <phoneticPr fontId="24" type="noConversion"/>
  </si>
  <si>
    <r>
      <t>h/H</t>
    </r>
    <r>
      <rPr>
        <vertAlign val="subscript"/>
        <sz val="12"/>
        <rFont val="宋体"/>
        <family val="3"/>
        <charset val="134"/>
      </rPr>
      <t>0</t>
    </r>
    <phoneticPr fontId="24" type="noConversion"/>
  </si>
  <si>
    <r>
      <t xml:space="preserve">        </t>
    </r>
    <r>
      <rPr>
        <sz val="12"/>
        <rFont val="宋体"/>
        <family val="3"/>
        <charset val="134"/>
      </rPr>
      <t>堵头底板以上总水深</t>
    </r>
    <r>
      <rPr>
        <sz val="12"/>
        <rFont val="Times New Roman"/>
        <family val="1"/>
      </rPr>
      <t>H</t>
    </r>
    <r>
      <rPr>
        <vertAlign val="subscript"/>
        <sz val="12"/>
        <rFont val="Times New Roman"/>
        <family val="1"/>
      </rPr>
      <t>0</t>
    </r>
    <r>
      <rPr>
        <sz val="12"/>
        <rFont val="Times New Roman"/>
        <family val="1"/>
      </rPr>
      <t>=</t>
    </r>
    <phoneticPr fontId="24" type="noConversion"/>
  </si>
  <si>
    <r>
      <t xml:space="preserve">        </t>
    </r>
    <r>
      <rPr>
        <sz val="12"/>
        <rFont val="宋体"/>
        <family val="3"/>
        <charset val="134"/>
      </rPr>
      <t>堵头顶拱形心处计算水深</t>
    </r>
    <r>
      <rPr>
        <sz val="12"/>
        <rFont val="Times New Roman"/>
        <family val="1"/>
      </rPr>
      <t>h</t>
    </r>
    <r>
      <rPr>
        <vertAlign val="subscript"/>
        <sz val="12"/>
        <rFont val="Times New Roman"/>
        <family val="1"/>
      </rPr>
      <t>1</t>
    </r>
    <r>
      <rPr>
        <sz val="12"/>
        <rFont val="Times New Roman"/>
        <family val="1"/>
      </rPr>
      <t>=</t>
    </r>
    <phoneticPr fontId="24" type="noConversion"/>
  </si>
  <si>
    <r>
      <t xml:space="preserve">        </t>
    </r>
    <r>
      <rPr>
        <sz val="12"/>
        <rFont val="宋体"/>
        <family val="3"/>
        <charset val="134"/>
      </rPr>
      <t>堵头顶拱形心处地震动水压力代表值</t>
    </r>
    <r>
      <rPr>
        <sz val="12"/>
        <rFont val="Times New Roman"/>
        <family val="1"/>
      </rPr>
      <t>P</t>
    </r>
    <r>
      <rPr>
        <vertAlign val="subscript"/>
        <sz val="12"/>
        <rFont val="Times New Roman"/>
        <family val="1"/>
      </rPr>
      <t>w</t>
    </r>
    <r>
      <rPr>
        <sz val="12"/>
        <rFont val="宋体"/>
        <family val="3"/>
        <charset val="134"/>
      </rPr>
      <t>（</t>
    </r>
    <r>
      <rPr>
        <sz val="12"/>
        <rFont val="Times New Roman"/>
        <family val="1"/>
      </rPr>
      <t>h</t>
    </r>
    <r>
      <rPr>
        <vertAlign val="subscript"/>
        <sz val="12"/>
        <rFont val="Times New Roman"/>
        <family val="1"/>
      </rPr>
      <t>1</t>
    </r>
    <r>
      <rPr>
        <sz val="12"/>
        <rFont val="宋体"/>
        <family val="3"/>
        <charset val="134"/>
      </rPr>
      <t>）</t>
    </r>
    <r>
      <rPr>
        <sz val="12"/>
        <rFont val="Times New Roman"/>
        <family val="1"/>
      </rPr>
      <t>=a</t>
    </r>
    <r>
      <rPr>
        <vertAlign val="subscript"/>
        <sz val="12"/>
        <rFont val="Times New Roman"/>
        <family val="1"/>
      </rPr>
      <t>h</t>
    </r>
    <r>
      <rPr>
        <sz val="12"/>
        <rFont val="Times New Roman"/>
        <family val="1"/>
      </rPr>
      <t>ζΨ(h</t>
    </r>
    <r>
      <rPr>
        <vertAlign val="subscript"/>
        <sz val="12"/>
        <rFont val="Times New Roman"/>
        <family val="1"/>
      </rPr>
      <t>1</t>
    </r>
    <r>
      <rPr>
        <sz val="12"/>
        <rFont val="Times New Roman"/>
        <family val="1"/>
      </rPr>
      <t>)ρ</t>
    </r>
    <r>
      <rPr>
        <vertAlign val="subscript"/>
        <sz val="12"/>
        <rFont val="Times New Roman"/>
        <family val="1"/>
      </rPr>
      <t>w</t>
    </r>
    <r>
      <rPr>
        <sz val="12"/>
        <rFont val="Times New Roman"/>
        <family val="1"/>
      </rPr>
      <t xml:space="preserve"> H</t>
    </r>
    <r>
      <rPr>
        <vertAlign val="subscript"/>
        <sz val="12"/>
        <rFont val="Times New Roman"/>
        <family val="1"/>
      </rPr>
      <t>0</t>
    </r>
    <r>
      <rPr>
        <sz val="12"/>
        <rFont val="Times New Roman"/>
        <family val="1"/>
      </rPr>
      <t>=</t>
    </r>
    <phoneticPr fontId="24" type="noConversion"/>
  </si>
  <si>
    <r>
      <t xml:space="preserve">        </t>
    </r>
    <r>
      <rPr>
        <sz val="12"/>
        <rFont val="宋体"/>
        <family val="3"/>
        <charset val="134"/>
      </rPr>
      <t>堵头顶拱地震动水压力</t>
    </r>
    <r>
      <rPr>
        <sz val="12"/>
        <rFont val="Times New Roman"/>
        <family val="1"/>
      </rPr>
      <t>E</t>
    </r>
    <r>
      <rPr>
        <vertAlign val="subscript"/>
        <sz val="12"/>
        <rFont val="Times New Roman"/>
        <family val="1"/>
      </rPr>
      <t>w</t>
    </r>
    <r>
      <rPr>
        <sz val="12"/>
        <rFont val="宋体"/>
        <family val="3"/>
        <charset val="134"/>
      </rPr>
      <t>（</t>
    </r>
    <r>
      <rPr>
        <sz val="12"/>
        <rFont val="Times New Roman"/>
        <family val="1"/>
      </rPr>
      <t>h</t>
    </r>
    <r>
      <rPr>
        <vertAlign val="subscript"/>
        <sz val="12"/>
        <rFont val="Times New Roman"/>
        <family val="1"/>
      </rPr>
      <t>1</t>
    </r>
    <r>
      <rPr>
        <sz val="12"/>
        <rFont val="宋体"/>
        <family val="3"/>
        <charset val="134"/>
      </rPr>
      <t>）</t>
    </r>
    <r>
      <rPr>
        <sz val="12"/>
        <rFont val="Times New Roman"/>
        <family val="1"/>
      </rPr>
      <t>=P</t>
    </r>
    <r>
      <rPr>
        <vertAlign val="subscript"/>
        <sz val="12"/>
        <rFont val="Times New Roman"/>
        <family val="1"/>
      </rPr>
      <t>w</t>
    </r>
    <r>
      <rPr>
        <sz val="12"/>
        <rFont val="Times New Roman"/>
        <family val="1"/>
      </rPr>
      <t>(h</t>
    </r>
    <r>
      <rPr>
        <vertAlign val="subscript"/>
        <sz val="12"/>
        <rFont val="Times New Roman"/>
        <family val="1"/>
      </rPr>
      <t>1</t>
    </r>
    <r>
      <rPr>
        <sz val="12"/>
        <rFont val="Times New Roman"/>
        <family val="1"/>
      </rPr>
      <t>)S</t>
    </r>
    <r>
      <rPr>
        <vertAlign val="subscript"/>
        <sz val="12"/>
        <rFont val="宋体"/>
        <family val="3"/>
        <charset val="134"/>
      </rPr>
      <t>顶拱</t>
    </r>
    <r>
      <rPr>
        <sz val="12"/>
        <rFont val="Times New Roman"/>
        <family val="1"/>
      </rPr>
      <t>=</t>
    </r>
    <phoneticPr fontId="24" type="noConversion"/>
  </si>
  <si>
    <r>
      <t xml:space="preserve">        </t>
    </r>
    <r>
      <rPr>
        <sz val="12"/>
        <rFont val="宋体"/>
        <family val="3"/>
        <charset val="134"/>
      </rPr>
      <t>堵头直墙顶处计算水深</t>
    </r>
    <r>
      <rPr>
        <sz val="12"/>
        <rFont val="Times New Roman"/>
        <family val="1"/>
      </rPr>
      <t>h</t>
    </r>
    <r>
      <rPr>
        <vertAlign val="subscript"/>
        <sz val="12"/>
        <rFont val="Times New Roman"/>
        <family val="1"/>
      </rPr>
      <t>2</t>
    </r>
    <r>
      <rPr>
        <sz val="12"/>
        <rFont val="Times New Roman"/>
        <family val="1"/>
      </rPr>
      <t>=</t>
    </r>
    <phoneticPr fontId="24" type="noConversion"/>
  </si>
  <si>
    <r>
      <t xml:space="preserve">        </t>
    </r>
    <r>
      <rPr>
        <sz val="12"/>
        <rFont val="宋体"/>
        <family val="3"/>
        <charset val="134"/>
      </rPr>
      <t>堵头底板处计算水深</t>
    </r>
    <r>
      <rPr>
        <sz val="12"/>
        <rFont val="Times New Roman"/>
        <family val="1"/>
      </rPr>
      <t>h</t>
    </r>
    <r>
      <rPr>
        <vertAlign val="subscript"/>
        <sz val="12"/>
        <rFont val="Times New Roman"/>
        <family val="1"/>
      </rPr>
      <t>3</t>
    </r>
    <r>
      <rPr>
        <sz val="12"/>
        <rFont val="Times New Roman"/>
        <family val="1"/>
      </rPr>
      <t>=</t>
    </r>
    <phoneticPr fontId="24" type="noConversion"/>
  </si>
  <si>
    <r>
      <t xml:space="preserve">        </t>
    </r>
    <r>
      <rPr>
        <sz val="12"/>
        <rFont val="宋体"/>
        <family val="3"/>
        <charset val="134"/>
      </rPr>
      <t>堵头直墙形心处Ψ</t>
    </r>
    <r>
      <rPr>
        <sz val="12"/>
        <rFont val="Times New Roman"/>
        <family val="1"/>
      </rPr>
      <t>(h)=</t>
    </r>
    <r>
      <rPr>
        <sz val="12"/>
        <rFont val="宋体"/>
        <family val="3"/>
        <charset val="134"/>
      </rPr>
      <t>（Ψ</t>
    </r>
    <r>
      <rPr>
        <sz val="12"/>
        <rFont val="Times New Roman"/>
        <family val="1"/>
      </rPr>
      <t>(h</t>
    </r>
    <r>
      <rPr>
        <vertAlign val="subscript"/>
        <sz val="12"/>
        <rFont val="Times New Roman"/>
        <family val="1"/>
      </rPr>
      <t>2</t>
    </r>
    <r>
      <rPr>
        <sz val="12"/>
        <rFont val="Times New Roman"/>
        <family val="1"/>
      </rPr>
      <t>)+Ψ(h</t>
    </r>
    <r>
      <rPr>
        <vertAlign val="subscript"/>
        <sz val="12"/>
        <rFont val="Times New Roman"/>
        <family val="1"/>
      </rPr>
      <t>3</t>
    </r>
    <r>
      <rPr>
        <sz val="12"/>
        <rFont val="Times New Roman"/>
        <family val="1"/>
      </rPr>
      <t>)</t>
    </r>
    <r>
      <rPr>
        <sz val="12"/>
        <rFont val="宋体"/>
        <family val="3"/>
        <charset val="134"/>
      </rPr>
      <t>）</t>
    </r>
    <r>
      <rPr>
        <sz val="12"/>
        <rFont val="Times New Roman"/>
        <family val="1"/>
      </rPr>
      <t>/2 =</t>
    </r>
    <phoneticPr fontId="24" type="noConversion"/>
  </si>
  <si>
    <r>
      <t xml:space="preserve">        </t>
    </r>
    <r>
      <rPr>
        <sz val="12"/>
        <rFont val="宋体"/>
        <family val="3"/>
        <charset val="134"/>
      </rPr>
      <t>堵头直墙形心处地震动水压力代表值</t>
    </r>
    <r>
      <rPr>
        <sz val="12"/>
        <rFont val="Times New Roman"/>
        <family val="1"/>
      </rPr>
      <t>P</t>
    </r>
    <r>
      <rPr>
        <vertAlign val="subscript"/>
        <sz val="12"/>
        <rFont val="Times New Roman"/>
        <family val="1"/>
      </rPr>
      <t>w</t>
    </r>
    <r>
      <rPr>
        <sz val="12"/>
        <rFont val="宋体"/>
        <family val="3"/>
        <charset val="134"/>
      </rPr>
      <t>（</t>
    </r>
    <r>
      <rPr>
        <sz val="12"/>
        <rFont val="Times New Roman"/>
        <family val="1"/>
      </rPr>
      <t>h</t>
    </r>
    <r>
      <rPr>
        <sz val="12"/>
        <rFont val="宋体"/>
        <family val="3"/>
        <charset val="134"/>
      </rPr>
      <t>）</t>
    </r>
    <r>
      <rPr>
        <sz val="12"/>
        <rFont val="Times New Roman"/>
        <family val="1"/>
      </rPr>
      <t>=a</t>
    </r>
    <r>
      <rPr>
        <vertAlign val="subscript"/>
        <sz val="12"/>
        <rFont val="Times New Roman"/>
        <family val="1"/>
      </rPr>
      <t>h</t>
    </r>
    <r>
      <rPr>
        <sz val="12"/>
        <rFont val="Times New Roman"/>
        <family val="1"/>
      </rPr>
      <t>ζΨ(h)ρ</t>
    </r>
    <r>
      <rPr>
        <vertAlign val="subscript"/>
        <sz val="12"/>
        <rFont val="Times New Roman"/>
        <family val="1"/>
      </rPr>
      <t>w</t>
    </r>
    <r>
      <rPr>
        <sz val="12"/>
        <rFont val="Times New Roman"/>
        <family val="1"/>
      </rPr>
      <t xml:space="preserve"> H</t>
    </r>
    <r>
      <rPr>
        <vertAlign val="subscript"/>
        <sz val="12"/>
        <rFont val="Times New Roman"/>
        <family val="1"/>
      </rPr>
      <t>0</t>
    </r>
    <r>
      <rPr>
        <sz val="12"/>
        <rFont val="Times New Roman"/>
        <family val="1"/>
      </rPr>
      <t>=</t>
    </r>
    <phoneticPr fontId="24" type="noConversion"/>
  </si>
  <si>
    <r>
      <t xml:space="preserve">        </t>
    </r>
    <r>
      <rPr>
        <sz val="12"/>
        <rFont val="宋体"/>
        <family val="3"/>
        <charset val="134"/>
      </rPr>
      <t>堵头直墙地震动水压力</t>
    </r>
    <r>
      <rPr>
        <sz val="12"/>
        <rFont val="Times New Roman"/>
        <family val="1"/>
      </rPr>
      <t>E</t>
    </r>
    <r>
      <rPr>
        <vertAlign val="subscript"/>
        <sz val="12"/>
        <rFont val="Times New Roman"/>
        <family val="1"/>
      </rPr>
      <t>w</t>
    </r>
    <r>
      <rPr>
        <sz val="12"/>
        <rFont val="宋体"/>
        <family val="3"/>
        <charset val="134"/>
      </rPr>
      <t>（</t>
    </r>
    <r>
      <rPr>
        <sz val="12"/>
        <rFont val="Times New Roman"/>
        <family val="1"/>
      </rPr>
      <t>h</t>
    </r>
    <r>
      <rPr>
        <sz val="12"/>
        <rFont val="宋体"/>
        <family val="3"/>
        <charset val="134"/>
      </rPr>
      <t>）</t>
    </r>
    <r>
      <rPr>
        <sz val="12"/>
        <rFont val="Times New Roman"/>
        <family val="1"/>
      </rPr>
      <t>=P</t>
    </r>
    <r>
      <rPr>
        <vertAlign val="subscript"/>
        <sz val="12"/>
        <rFont val="Times New Roman"/>
        <family val="1"/>
      </rPr>
      <t>w</t>
    </r>
    <r>
      <rPr>
        <sz val="12"/>
        <rFont val="Times New Roman"/>
        <family val="1"/>
      </rPr>
      <t>(h)S</t>
    </r>
    <r>
      <rPr>
        <vertAlign val="subscript"/>
        <sz val="12"/>
        <rFont val="宋体"/>
        <family val="3"/>
        <charset val="134"/>
      </rPr>
      <t>直墙</t>
    </r>
    <r>
      <rPr>
        <sz val="12"/>
        <rFont val="Times New Roman"/>
        <family val="1"/>
      </rPr>
      <t>=P</t>
    </r>
    <r>
      <rPr>
        <vertAlign val="subscript"/>
        <sz val="12"/>
        <rFont val="Times New Roman"/>
        <family val="1"/>
      </rPr>
      <t>w</t>
    </r>
    <r>
      <rPr>
        <sz val="12"/>
        <rFont val="Times New Roman"/>
        <family val="1"/>
      </rPr>
      <t>(h)bh</t>
    </r>
    <r>
      <rPr>
        <vertAlign val="subscript"/>
        <sz val="12"/>
        <rFont val="Times New Roman"/>
        <family val="1"/>
      </rPr>
      <t>2</t>
    </r>
    <r>
      <rPr>
        <sz val="12"/>
        <rFont val="Times New Roman"/>
        <family val="1"/>
      </rPr>
      <t>=</t>
    </r>
    <phoneticPr fontId="24" type="noConversion"/>
  </si>
  <si>
    <r>
      <t xml:space="preserve">    E</t>
    </r>
    <r>
      <rPr>
        <vertAlign val="subscript"/>
        <sz val="12"/>
        <rFont val="宋体"/>
        <family val="3"/>
        <charset val="134"/>
      </rPr>
      <t>0</t>
    </r>
    <r>
      <rPr>
        <sz val="12"/>
        <rFont val="宋体"/>
        <family val="3"/>
        <charset val="134"/>
      </rPr>
      <t>=Ew（h</t>
    </r>
    <r>
      <rPr>
        <vertAlign val="subscript"/>
        <sz val="12"/>
        <rFont val="宋体"/>
        <family val="3"/>
        <charset val="134"/>
      </rPr>
      <t>1</t>
    </r>
    <r>
      <rPr>
        <sz val="12"/>
        <rFont val="宋体"/>
        <family val="3"/>
        <charset val="134"/>
      </rPr>
      <t>）+Ew（h）=</t>
    </r>
    <phoneticPr fontId="24" type="noConversion"/>
  </si>
  <si>
    <r>
      <rPr>
        <sz val="12"/>
        <rFont val="Times New Roman"/>
        <family val="1"/>
      </rPr>
      <t xml:space="preserve">        </t>
    </r>
    <r>
      <rPr>
        <sz val="12"/>
        <rFont val="宋体"/>
        <family val="3"/>
        <charset val="134"/>
      </rPr>
      <t>（</t>
    </r>
    <r>
      <rPr>
        <sz val="12"/>
        <rFont val="Times New Roman"/>
        <family val="1"/>
      </rPr>
      <t>3</t>
    </r>
    <r>
      <rPr>
        <sz val="12"/>
        <rFont val="宋体"/>
        <family val="3"/>
        <charset val="134"/>
      </rPr>
      <t>）地震动水压力折减系数</t>
    </r>
    <phoneticPr fontId="24" type="noConversion"/>
  </si>
  <si>
    <r>
      <rPr>
        <sz val="12"/>
        <rFont val="Times New Roman"/>
        <family val="1"/>
      </rPr>
      <t xml:space="preserve">         </t>
    </r>
    <r>
      <rPr>
        <sz val="12"/>
        <rFont val="宋体"/>
        <family val="3"/>
        <charset val="134"/>
      </rPr>
      <t>地震动水压力折减系数η</t>
    </r>
    <r>
      <rPr>
        <vertAlign val="subscript"/>
        <sz val="12"/>
        <rFont val="Times New Roman"/>
        <family val="1"/>
      </rPr>
      <t>c</t>
    </r>
    <r>
      <rPr>
        <sz val="12"/>
        <rFont val="Times New Roman"/>
        <family val="1"/>
      </rPr>
      <t>=θ/90=</t>
    </r>
    <phoneticPr fontId="24" type="noConversion"/>
  </si>
  <si>
    <r>
      <rPr>
        <sz val="12"/>
        <rFont val="Times New Roman"/>
        <family val="1"/>
      </rPr>
      <t xml:space="preserve">        3</t>
    </r>
    <r>
      <rPr>
        <sz val="12"/>
        <rFont val="宋体"/>
        <family val="3"/>
        <charset val="134"/>
      </rPr>
      <t>）稳定复核</t>
    </r>
    <phoneticPr fontId="24" type="noConversion"/>
  </si>
  <si>
    <r>
      <rPr>
        <sz val="12"/>
        <rFont val="Times New Roman"/>
        <family val="1"/>
      </rPr>
      <t xml:space="preserve">        </t>
    </r>
    <r>
      <rPr>
        <sz val="12"/>
        <rFont val="宋体"/>
        <family val="3"/>
        <charset val="134"/>
      </rPr>
      <t>作用效应函数</t>
    </r>
    <r>
      <rPr>
        <sz val="12"/>
        <rFont val="Times New Roman"/>
        <family val="1"/>
      </rPr>
      <t>S(.)=</t>
    </r>
    <r>
      <rPr>
        <sz val="12"/>
        <rFont val="宋体"/>
        <family val="3"/>
        <charset val="134"/>
      </rPr>
      <t>∑</t>
    </r>
    <r>
      <rPr>
        <sz val="12"/>
        <rFont val="Times New Roman"/>
        <family val="1"/>
      </rPr>
      <t>P</t>
    </r>
    <r>
      <rPr>
        <vertAlign val="subscript"/>
        <sz val="12"/>
        <rFont val="Times New Roman"/>
        <family val="1"/>
      </rPr>
      <t>R</t>
    </r>
    <r>
      <rPr>
        <sz val="12"/>
        <rFont val="Times New Roman"/>
        <family val="1"/>
      </rPr>
      <t>=cosθ</t>
    </r>
    <r>
      <rPr>
        <sz val="12"/>
        <rFont val="宋体"/>
        <family val="3"/>
        <charset val="134"/>
      </rPr>
      <t>（</t>
    </r>
    <r>
      <rPr>
        <sz val="12"/>
        <rFont val="Times New Roman"/>
        <family val="1"/>
      </rPr>
      <t>P</t>
    </r>
    <r>
      <rPr>
        <vertAlign val="subscript"/>
        <sz val="12"/>
        <rFont val="Times New Roman"/>
        <family val="1"/>
      </rPr>
      <t>1</t>
    </r>
    <r>
      <rPr>
        <sz val="12"/>
        <rFont val="Times New Roman"/>
        <family val="1"/>
      </rPr>
      <t>γ</t>
    </r>
    <r>
      <rPr>
        <vertAlign val="subscript"/>
        <sz val="12"/>
        <rFont val="Times New Roman"/>
        <family val="1"/>
      </rPr>
      <t>Pd</t>
    </r>
    <r>
      <rPr>
        <sz val="12"/>
        <rFont val="Times New Roman"/>
        <family val="1"/>
      </rPr>
      <t>+E</t>
    </r>
    <r>
      <rPr>
        <vertAlign val="subscript"/>
        <sz val="12"/>
        <rFont val="Times New Roman"/>
        <family val="1"/>
      </rPr>
      <t>i</t>
    </r>
    <r>
      <rPr>
        <sz val="12"/>
        <rFont val="Times New Roman"/>
        <family val="1"/>
      </rPr>
      <t>γ</t>
    </r>
    <r>
      <rPr>
        <vertAlign val="subscript"/>
        <sz val="12"/>
        <rFont val="Times New Roman"/>
        <family val="1"/>
      </rPr>
      <t>E</t>
    </r>
    <r>
      <rPr>
        <sz val="12"/>
        <rFont val="Times New Roman"/>
        <family val="1"/>
      </rPr>
      <t>+E</t>
    </r>
    <r>
      <rPr>
        <vertAlign val="subscript"/>
        <sz val="12"/>
        <rFont val="Times New Roman"/>
        <family val="1"/>
      </rPr>
      <t>0</t>
    </r>
    <r>
      <rPr>
        <sz val="12"/>
        <rFont val="Times New Roman"/>
        <family val="1"/>
      </rPr>
      <t>η</t>
    </r>
    <r>
      <rPr>
        <vertAlign val="subscript"/>
        <sz val="12"/>
        <rFont val="Times New Roman"/>
        <family val="1"/>
      </rPr>
      <t>c</t>
    </r>
    <r>
      <rPr>
        <sz val="12"/>
        <rFont val="Times New Roman"/>
        <family val="1"/>
      </rPr>
      <t>γ</t>
    </r>
    <r>
      <rPr>
        <vertAlign val="subscript"/>
        <sz val="12"/>
        <rFont val="Times New Roman"/>
        <family val="1"/>
      </rPr>
      <t>E</t>
    </r>
    <r>
      <rPr>
        <sz val="12"/>
        <rFont val="宋体"/>
        <family val="3"/>
        <charset val="134"/>
      </rPr>
      <t>）</t>
    </r>
    <r>
      <rPr>
        <sz val="12"/>
        <rFont val="Times New Roman"/>
        <family val="1"/>
      </rPr>
      <t>+sinθGγ</t>
    </r>
    <r>
      <rPr>
        <vertAlign val="subscript"/>
        <sz val="12"/>
        <rFont val="Times New Roman"/>
        <family val="1"/>
      </rPr>
      <t>Gd</t>
    </r>
    <r>
      <rPr>
        <sz val="12"/>
        <rFont val="Times New Roman"/>
        <family val="1"/>
      </rPr>
      <t>=</t>
    </r>
    <phoneticPr fontId="24" type="noConversion"/>
  </si>
  <si>
    <r>
      <rPr>
        <sz val="12"/>
        <rFont val="Times New Roman"/>
        <family val="1"/>
      </rPr>
      <t xml:space="preserve">        </t>
    </r>
    <r>
      <rPr>
        <sz val="12"/>
        <rFont val="宋体"/>
        <family val="3"/>
        <charset val="134"/>
      </rPr>
      <t>∑</t>
    </r>
    <r>
      <rPr>
        <sz val="12"/>
        <rFont val="Times New Roman"/>
        <family val="1"/>
      </rPr>
      <t>W</t>
    </r>
    <r>
      <rPr>
        <vertAlign val="subscript"/>
        <sz val="12"/>
        <rFont val="Times New Roman"/>
        <family val="1"/>
      </rPr>
      <t>R</t>
    </r>
    <r>
      <rPr>
        <sz val="12"/>
        <rFont val="Times New Roman"/>
        <family val="1"/>
      </rPr>
      <t>=cosθGγ</t>
    </r>
    <r>
      <rPr>
        <vertAlign val="subscript"/>
        <sz val="12"/>
        <rFont val="Times New Roman"/>
        <family val="1"/>
      </rPr>
      <t>Gd</t>
    </r>
    <r>
      <rPr>
        <sz val="12"/>
        <rFont val="Times New Roman"/>
        <family val="1"/>
      </rPr>
      <t>-sinθ</t>
    </r>
    <r>
      <rPr>
        <sz val="12"/>
        <rFont val="宋体"/>
        <family val="3"/>
        <charset val="134"/>
      </rPr>
      <t>（</t>
    </r>
    <r>
      <rPr>
        <sz val="12"/>
        <rFont val="Times New Roman"/>
        <family val="1"/>
      </rPr>
      <t>P</t>
    </r>
    <r>
      <rPr>
        <vertAlign val="subscript"/>
        <sz val="12"/>
        <rFont val="Times New Roman"/>
        <family val="1"/>
      </rPr>
      <t>1</t>
    </r>
    <r>
      <rPr>
        <sz val="12"/>
        <rFont val="Times New Roman"/>
        <family val="1"/>
      </rPr>
      <t>γ</t>
    </r>
    <r>
      <rPr>
        <vertAlign val="subscript"/>
        <sz val="12"/>
        <rFont val="Times New Roman"/>
        <family val="1"/>
      </rPr>
      <t>Pd</t>
    </r>
    <r>
      <rPr>
        <sz val="12"/>
        <rFont val="Times New Roman"/>
        <family val="1"/>
      </rPr>
      <t>+E</t>
    </r>
    <r>
      <rPr>
        <vertAlign val="subscript"/>
        <sz val="12"/>
        <rFont val="Times New Roman"/>
        <family val="1"/>
      </rPr>
      <t>i</t>
    </r>
    <r>
      <rPr>
        <sz val="12"/>
        <rFont val="Times New Roman"/>
        <family val="1"/>
      </rPr>
      <t>γ</t>
    </r>
    <r>
      <rPr>
        <vertAlign val="subscript"/>
        <sz val="12"/>
        <rFont val="Times New Roman"/>
        <family val="1"/>
      </rPr>
      <t>E</t>
    </r>
    <r>
      <rPr>
        <sz val="12"/>
        <rFont val="Times New Roman"/>
        <family val="1"/>
      </rPr>
      <t>+E</t>
    </r>
    <r>
      <rPr>
        <vertAlign val="subscript"/>
        <sz val="12"/>
        <rFont val="Times New Roman"/>
        <family val="1"/>
      </rPr>
      <t>0</t>
    </r>
    <r>
      <rPr>
        <sz val="12"/>
        <rFont val="Times New Roman"/>
        <family val="1"/>
      </rPr>
      <t>η</t>
    </r>
    <r>
      <rPr>
        <vertAlign val="subscript"/>
        <sz val="12"/>
        <rFont val="Times New Roman"/>
        <family val="1"/>
      </rPr>
      <t>c</t>
    </r>
    <r>
      <rPr>
        <sz val="12"/>
        <rFont val="Times New Roman"/>
        <family val="1"/>
      </rPr>
      <t>γ</t>
    </r>
    <r>
      <rPr>
        <vertAlign val="subscript"/>
        <sz val="12"/>
        <rFont val="Times New Roman"/>
        <family val="1"/>
      </rPr>
      <t>E</t>
    </r>
    <r>
      <rPr>
        <sz val="12"/>
        <rFont val="宋体"/>
        <family val="3"/>
        <charset val="134"/>
      </rPr>
      <t>）</t>
    </r>
    <r>
      <rPr>
        <sz val="12"/>
        <rFont val="Times New Roman"/>
        <family val="1"/>
      </rPr>
      <t>=</t>
    </r>
    <phoneticPr fontId="24" type="noConversion"/>
  </si>
  <si>
    <r>
      <t>R(.)/</t>
    </r>
    <r>
      <rPr>
        <sz val="12"/>
        <rFont val="宋体"/>
        <family val="3"/>
        <charset val="134"/>
      </rPr>
      <t>γ</t>
    </r>
    <r>
      <rPr>
        <vertAlign val="subscript"/>
        <sz val="12"/>
        <rFont val="Times New Roman"/>
        <family val="1"/>
      </rPr>
      <t>dd</t>
    </r>
    <r>
      <rPr>
        <sz val="12"/>
        <rFont val="Times New Roman"/>
        <family val="1"/>
      </rPr>
      <t>=</t>
    </r>
    <phoneticPr fontId="24" type="noConversion"/>
  </si>
  <si>
    <r>
      <t xml:space="preserve">    </t>
    </r>
    <r>
      <rPr>
        <sz val="12"/>
        <rFont val="Times New Roman"/>
        <family val="1"/>
      </rPr>
      <t xml:space="preserve"> </t>
    </r>
    <r>
      <rPr>
        <sz val="12"/>
        <rFont val="宋体"/>
        <family val="3"/>
        <charset val="134"/>
      </rPr>
      <t>设计洪水位</t>
    </r>
    <r>
      <rPr>
        <sz val="12"/>
        <rFont val="Times New Roman"/>
        <family val="1"/>
      </rPr>
      <t>Z</t>
    </r>
    <r>
      <rPr>
        <vertAlign val="subscript"/>
        <sz val="12"/>
        <rFont val="宋体"/>
        <family val="3"/>
        <charset val="134"/>
      </rPr>
      <t>设</t>
    </r>
    <r>
      <rPr>
        <sz val="12"/>
        <rFont val="宋体"/>
        <family val="3"/>
        <charset val="134"/>
      </rPr>
      <t>=</t>
    </r>
    <phoneticPr fontId="24" type="noConversion"/>
  </si>
  <si>
    <r>
      <t xml:space="preserve">      P</t>
    </r>
    <r>
      <rPr>
        <vertAlign val="subscript"/>
        <sz val="12"/>
        <rFont val="宋体"/>
        <family val="3"/>
        <charset val="134"/>
      </rPr>
      <t>1直墙</t>
    </r>
    <r>
      <rPr>
        <sz val="12"/>
        <rFont val="宋体"/>
        <family val="3"/>
        <charset val="134"/>
      </rPr>
      <t>（正常蓄水位）=(H</t>
    </r>
    <r>
      <rPr>
        <vertAlign val="subscript"/>
        <sz val="12"/>
        <rFont val="宋体"/>
        <family val="3"/>
        <charset val="134"/>
      </rPr>
      <t>1底</t>
    </r>
    <r>
      <rPr>
        <sz val="12"/>
        <rFont val="宋体"/>
        <family val="3"/>
        <charset val="134"/>
      </rPr>
      <t>+H</t>
    </r>
    <r>
      <rPr>
        <vertAlign val="subscript"/>
        <sz val="12"/>
        <rFont val="宋体"/>
        <family val="3"/>
        <charset val="134"/>
      </rPr>
      <t>1顶</t>
    </r>
    <r>
      <rPr>
        <sz val="12"/>
        <rFont val="宋体"/>
        <family val="3"/>
        <charset val="134"/>
      </rPr>
      <t>）h</t>
    </r>
    <r>
      <rPr>
        <vertAlign val="subscript"/>
        <sz val="12"/>
        <rFont val="宋体"/>
        <family val="3"/>
        <charset val="134"/>
      </rPr>
      <t>2</t>
    </r>
    <r>
      <rPr>
        <sz val="12"/>
        <rFont val="宋体"/>
        <family val="3"/>
        <charset val="134"/>
      </rPr>
      <t>b</t>
    </r>
    <r>
      <rPr>
        <sz val="12"/>
        <rFont val="Calibri"/>
        <family val="3"/>
        <charset val="161"/>
      </rPr>
      <t>γ</t>
    </r>
    <r>
      <rPr>
        <vertAlign val="subscript"/>
        <sz val="12"/>
        <rFont val="宋体"/>
        <family val="3"/>
        <charset val="134"/>
      </rPr>
      <t>w</t>
    </r>
    <r>
      <rPr>
        <sz val="12"/>
        <rFont val="宋体"/>
        <family val="3"/>
        <charset val="134"/>
      </rPr>
      <t>/2=</t>
    </r>
    <phoneticPr fontId="24" type="noConversion"/>
  </si>
  <si>
    <r>
      <rPr>
        <sz val="12"/>
        <color rgb="FFFF0000"/>
        <rFont val="宋体"/>
        <family val="3"/>
        <charset val="134"/>
      </rPr>
      <t>注意：</t>
    </r>
    <r>
      <rPr>
        <sz val="12"/>
        <color theme="1"/>
        <rFont val="宋体"/>
        <family val="3"/>
        <charset val="134"/>
      </rPr>
      <t>根据</t>
    </r>
    <r>
      <rPr>
        <sz val="12"/>
        <color theme="1"/>
        <rFont val="Times New Roman"/>
        <family val="1"/>
      </rPr>
      <t>NB 35047-2015</t>
    </r>
    <r>
      <rPr>
        <sz val="12"/>
        <color theme="1"/>
        <rFont val="宋体"/>
        <family val="3"/>
        <charset val="134"/>
      </rPr>
      <t>中</t>
    </r>
    <r>
      <rPr>
        <sz val="12"/>
        <color theme="1"/>
        <rFont val="Times New Roman"/>
        <family val="1"/>
      </rPr>
      <t>3.0.2</t>
    </r>
    <r>
      <rPr>
        <sz val="12"/>
        <color theme="1"/>
        <rFont val="宋体"/>
        <family val="3"/>
        <charset val="134"/>
      </rPr>
      <t>中第</t>
    </r>
    <r>
      <rPr>
        <sz val="12"/>
        <color theme="1"/>
        <rFont val="Times New Roman"/>
        <family val="1"/>
      </rPr>
      <t>1</t>
    </r>
    <r>
      <rPr>
        <sz val="12"/>
        <color theme="1"/>
        <rFont val="宋体"/>
        <family val="3"/>
        <charset val="134"/>
      </rPr>
      <t>）条，工程抗震设防类别为</t>
    </r>
    <r>
      <rPr>
        <sz val="12"/>
        <color rgb="FFFF0000"/>
        <rFont val="宋体"/>
        <family val="3"/>
        <charset val="134"/>
      </rPr>
      <t>甲类</t>
    </r>
    <r>
      <rPr>
        <sz val="12"/>
        <color theme="1"/>
        <rFont val="宋体"/>
        <family val="3"/>
        <charset val="134"/>
      </rPr>
      <t>的水工建筑物</t>
    </r>
    <r>
      <rPr>
        <sz val="12"/>
        <color rgb="FFFF0000"/>
        <rFont val="宋体"/>
        <family val="3"/>
        <charset val="134"/>
      </rPr>
      <t>，</t>
    </r>
    <r>
      <rPr>
        <sz val="12"/>
        <rFont val="宋体"/>
        <family val="3"/>
        <charset val="134"/>
      </rPr>
      <t>应在基</t>
    </r>
    <phoneticPr fontId="24" type="noConversion"/>
  </si>
  <si>
    <r>
      <t>NB 35047-2015</t>
    </r>
    <r>
      <rPr>
        <sz val="12"/>
        <rFont val="宋体"/>
        <family val="3"/>
        <charset val="134"/>
      </rPr>
      <t>表</t>
    </r>
    <r>
      <rPr>
        <sz val="12"/>
        <rFont val="Times New Roman"/>
        <family val="1"/>
      </rPr>
      <t xml:space="preserve">3.0.1       </t>
    </r>
    <r>
      <rPr>
        <sz val="12"/>
        <rFont val="宋体"/>
        <family val="3"/>
        <charset val="134"/>
      </rPr>
      <t>工程抗震设防类别</t>
    </r>
    <phoneticPr fontId="24" type="noConversion"/>
  </si>
  <si>
    <r>
      <rPr>
        <sz val="12"/>
        <rFont val="宋体"/>
        <family val="3"/>
        <charset val="134"/>
      </rPr>
      <t>表</t>
    </r>
    <r>
      <rPr>
        <sz val="12"/>
        <rFont val="Times New Roman"/>
        <family val="1"/>
      </rPr>
      <t xml:space="preserve">5.2.3           </t>
    </r>
    <r>
      <rPr>
        <sz val="12"/>
        <rFont val="宋体"/>
        <family val="3"/>
        <charset val="134"/>
      </rPr>
      <t>地震动峰值加速度代表值的概率水准表</t>
    </r>
    <phoneticPr fontId="24" type="noConversion"/>
  </si>
  <si>
    <r>
      <t>NB 35047-2014</t>
    </r>
    <r>
      <rPr>
        <sz val="12"/>
        <rFont val="宋体"/>
        <family val="3"/>
        <charset val="134"/>
      </rPr>
      <t>表</t>
    </r>
    <r>
      <rPr>
        <sz val="12"/>
        <rFont val="Times New Roman"/>
        <family val="1"/>
      </rPr>
      <t xml:space="preserve">7.1.12       </t>
    </r>
    <r>
      <rPr>
        <sz val="12"/>
        <rFont val="宋体"/>
        <family val="3"/>
        <charset val="134"/>
      </rPr>
      <t>重力坝动水压力分布系数</t>
    </r>
    <phoneticPr fontId="24" type="noConversion"/>
  </si>
  <si>
    <r>
      <rPr>
        <sz val="12"/>
        <rFont val="宋体"/>
        <family val="3"/>
        <charset val="134"/>
      </rPr>
      <t>表</t>
    </r>
    <r>
      <rPr>
        <sz val="12"/>
        <rFont val="Times New Roman"/>
        <family val="1"/>
      </rPr>
      <t xml:space="preserve">1.4-1       </t>
    </r>
    <r>
      <rPr>
        <sz val="12"/>
        <rFont val="宋体"/>
        <family val="3"/>
        <charset val="134"/>
      </rPr>
      <t>堵头结构计算成果汇总表（堵头混凝土与原衬砌混凝土接触面）</t>
    </r>
    <phoneticPr fontId="24" type="noConversion"/>
  </si>
  <si>
    <r>
      <rPr>
        <sz val="12"/>
        <rFont val="宋体"/>
        <family val="3"/>
        <charset val="134"/>
      </rPr>
      <t>表</t>
    </r>
    <r>
      <rPr>
        <sz val="12"/>
        <rFont val="Times New Roman"/>
        <family val="1"/>
      </rPr>
      <t xml:space="preserve">1.4-2       </t>
    </r>
    <r>
      <rPr>
        <sz val="12"/>
        <rFont val="宋体"/>
        <family val="3"/>
        <charset val="134"/>
      </rPr>
      <t>堵头结构计算成果汇总表（堵头混凝土</t>
    </r>
    <r>
      <rPr>
        <sz val="12"/>
        <rFont val="Times New Roman"/>
        <family val="1"/>
      </rPr>
      <t>+</t>
    </r>
    <r>
      <rPr>
        <sz val="12"/>
        <rFont val="宋体"/>
        <family val="3"/>
        <charset val="134"/>
      </rPr>
      <t>原支护与基岩接触面）</t>
    </r>
    <phoneticPr fontId="24" type="noConversion"/>
  </si>
  <si>
    <r>
      <rPr>
        <sz val="12"/>
        <rFont val="宋体"/>
        <family val="3"/>
        <charset val="134"/>
      </rPr>
      <t>表</t>
    </r>
    <r>
      <rPr>
        <sz val="12"/>
        <rFont val="Times New Roman"/>
        <family val="1"/>
      </rPr>
      <t xml:space="preserve">4.2                      </t>
    </r>
    <r>
      <rPr>
        <sz val="12"/>
        <rFont val="宋体"/>
        <family val="3"/>
        <charset val="134"/>
      </rPr>
      <t>堵头长度估算参数表</t>
    </r>
    <phoneticPr fontId="24" type="noConversion"/>
  </si>
  <si>
    <r>
      <t>小于</t>
    </r>
    <r>
      <rPr>
        <sz val="12"/>
        <rFont val="Times New Roman"/>
        <family val="1"/>
      </rPr>
      <t>2.0</t>
    </r>
    <r>
      <rPr>
        <sz val="12"/>
        <rFont val="宋体"/>
        <family val="3"/>
        <charset val="134"/>
      </rPr>
      <t>～</t>
    </r>
    <r>
      <rPr>
        <sz val="12"/>
        <rFont val="Times New Roman"/>
        <family val="1"/>
      </rPr>
      <t>3.0</t>
    </r>
    <r>
      <rPr>
        <sz val="12"/>
        <rFont val="宋体"/>
        <family val="3"/>
        <charset val="134"/>
      </rPr>
      <t>倍洞径。</t>
    </r>
    <r>
      <rPr>
        <sz val="12"/>
        <rFont val="Times New Roman"/>
        <family val="1"/>
      </rPr>
      <t>L=(2.0</t>
    </r>
    <r>
      <rPr>
        <sz val="12"/>
        <rFont val="宋体"/>
        <family val="3"/>
        <charset val="134"/>
      </rPr>
      <t>～</t>
    </r>
    <r>
      <rPr>
        <sz val="12"/>
        <rFont val="Times New Roman"/>
        <family val="1"/>
      </rPr>
      <t>3.0)R</t>
    </r>
    <r>
      <rPr>
        <sz val="12"/>
        <rFont val="宋体"/>
        <family val="3"/>
        <charset val="134"/>
      </rPr>
      <t>，</t>
    </r>
    <r>
      <rPr>
        <sz val="12"/>
        <rFont val="Times New Roman"/>
        <family val="1"/>
      </rPr>
      <t>R</t>
    </r>
    <r>
      <rPr>
        <sz val="12"/>
        <rFont val="宋体"/>
        <family val="3"/>
        <charset val="134"/>
      </rPr>
      <t>为堵头的等效直径。</t>
    </r>
    <phoneticPr fontId="24" type="noConversion"/>
  </si>
  <si>
    <r>
      <rPr>
        <sz val="12"/>
        <rFont val="宋体"/>
        <family val="3"/>
        <charset val="134"/>
      </rPr>
      <t>表</t>
    </r>
    <r>
      <rPr>
        <sz val="12"/>
        <rFont val="Times New Roman"/>
        <family val="1"/>
      </rPr>
      <t xml:space="preserve">4.5                        </t>
    </r>
    <r>
      <rPr>
        <sz val="12"/>
        <rFont val="宋体"/>
        <family val="3"/>
        <charset val="134"/>
      </rPr>
      <t>堵头长度经验值表</t>
    </r>
    <phoneticPr fontId="24" type="noConversion"/>
  </si>
  <si>
    <r>
      <rPr>
        <sz val="12"/>
        <rFont val="宋体"/>
        <family val="3"/>
        <charset val="134"/>
      </rPr>
      <t>表</t>
    </r>
    <r>
      <rPr>
        <sz val="12"/>
        <rFont val="Times New Roman"/>
        <family val="1"/>
      </rPr>
      <t xml:space="preserve">5.2.1           </t>
    </r>
    <r>
      <rPr>
        <sz val="12"/>
        <rFont val="宋体"/>
        <family val="3"/>
        <charset val="134"/>
      </rPr>
      <t>地震动峰值加速度代表值的概率水准表</t>
    </r>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</si>
</sst>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_ "/>
    <numFmt numFmtId="177" formatCode="0.0000"/>
    <numFmt numFmtId="178" formatCode="0.000"/>
    <numFmt numFmtId="179" formatCode="0.000_ "/>
    <numFmt numFmtId="180" formatCode="0_ "/>
    <numFmt numFmtId="181" formatCode="0.000_);[Red]\(0.000\)"/>
    <numFmt numFmtId="182" formatCode="0.0000_ "/>
  </numFmts>
  <fonts count="52" x14ac:knownFonts="1">
    <font>
      <sz val="12"/>
      <name val="Times New Roman"/>
      <family val="1"/>
    </font>
    <font>
      <sz val="12"/>
      <name val="黑体"/>
      <family val="3"/>
      <charset val="134"/>
    </font>
    <font>
      <sz val="14"/>
      <name val="黑体"/>
      <family val="3"/>
      <charset val="134"/>
    </font>
    <font>
      <sz val="12"/>
      <name val="宋体"/>
      <family val="3"/>
      <charset val="134"/>
    </font>
    <font>
      <sz val="11"/>
      <name val="宋体"/>
      <family val="3"/>
      <charset val="134"/>
    </font>
    <font>
      <b/>
      <sz val="11"/>
      <color indexed="8"/>
      <name val="宋体"/>
      <family val="3"/>
      <charset val="134"/>
    </font>
    <font>
      <sz val="11"/>
      <color indexed="9"/>
      <name val="宋体"/>
      <family val="3"/>
      <charset val="134"/>
    </font>
    <font>
      <sz val="11"/>
      <color indexed="8"/>
      <name val="宋体"/>
      <family val="3"/>
      <charset val="134"/>
    </font>
    <font>
      <i/>
      <sz val="11"/>
      <color indexed="23"/>
      <name val="宋体"/>
      <family val="3"/>
      <charset val="134"/>
    </font>
    <font>
      <sz val="11"/>
      <color indexed="10"/>
      <name val="宋体"/>
      <family val="3"/>
      <charset val="134"/>
    </font>
    <font>
      <b/>
      <sz val="18"/>
      <color indexed="62"/>
      <name val="宋体"/>
      <family val="3"/>
      <charset val="134"/>
    </font>
    <font>
      <b/>
      <sz val="15"/>
      <color indexed="62"/>
      <name val="宋体"/>
      <family val="3"/>
      <charset val="134"/>
    </font>
    <font>
      <sz val="11"/>
      <color indexed="19"/>
      <name val="宋体"/>
      <family val="3"/>
      <charset val="134"/>
    </font>
    <font>
      <sz val="11"/>
      <color indexed="17"/>
      <name val="宋体"/>
      <family val="3"/>
      <charset val="134"/>
    </font>
    <font>
      <b/>
      <sz val="11"/>
      <color indexed="62"/>
      <name val="宋体"/>
      <family val="3"/>
      <charset val="134"/>
    </font>
    <font>
      <sz val="11"/>
      <color indexed="20"/>
      <name val="宋体"/>
      <family val="3"/>
      <charset val="134"/>
    </font>
    <font>
      <b/>
      <sz val="13"/>
      <color indexed="62"/>
      <name val="宋体"/>
      <family val="3"/>
      <charset val="134"/>
    </font>
    <font>
      <b/>
      <sz val="11"/>
      <color indexed="63"/>
      <name val="宋体"/>
      <family val="3"/>
      <charset val="134"/>
    </font>
    <font>
      <sz val="11"/>
      <color indexed="62"/>
      <name val="宋体"/>
      <family val="3"/>
      <charset val="134"/>
    </font>
    <font>
      <b/>
      <sz val="11"/>
      <color indexed="9"/>
      <name val="宋体"/>
      <family val="3"/>
      <charset val="134"/>
    </font>
    <font>
      <b/>
      <sz val="11"/>
      <color indexed="10"/>
      <name val="宋体"/>
      <family val="3"/>
      <charset val="134"/>
    </font>
    <font>
      <vertAlign val="subscript"/>
      <sz val="12"/>
      <name val="宋体"/>
      <family val="3"/>
      <charset val="134"/>
    </font>
    <font>
      <vertAlign val="subscript"/>
      <sz val="12"/>
      <name val="Times New Roman"/>
      <family val="1"/>
    </font>
    <font>
      <sz val="12"/>
      <name val="Times New Roman"/>
      <family val="1"/>
    </font>
    <font>
      <sz val="9"/>
      <name val="宋体"/>
      <family val="3"/>
      <charset val="134"/>
    </font>
    <font>
      <sz val="14"/>
      <color indexed="8"/>
      <name val="黑体"/>
      <family val="3"/>
      <charset val="134"/>
    </font>
    <font>
      <sz val="12"/>
      <color rgb="FFFF0000"/>
      <name val="宋体"/>
      <family val="3"/>
      <charset val="134"/>
    </font>
    <font>
      <sz val="12"/>
      <color rgb="FFFF0000"/>
      <name val="Times New Roman"/>
      <family val="1"/>
    </font>
    <font>
      <vertAlign val="superscript"/>
      <sz val="12"/>
      <name val="Times New Roman"/>
      <family val="1"/>
    </font>
    <font>
      <sz val="10.5"/>
      <name val="Times New Roman"/>
      <family val="1"/>
    </font>
    <font>
      <sz val="8"/>
      <name val="Times New Roman"/>
      <family val="1"/>
    </font>
    <font>
      <sz val="12"/>
      <color indexed="8"/>
      <name val="黑体"/>
      <family val="3"/>
      <charset val="134"/>
    </font>
    <font>
      <vertAlign val="superscript"/>
      <sz val="12"/>
      <name val="宋体"/>
      <family val="3"/>
      <charset val="134"/>
    </font>
    <font>
      <sz val="12"/>
      <color theme="1"/>
      <name val="Times New Roman"/>
      <family val="1"/>
    </font>
    <font>
      <sz val="12"/>
      <color theme="1"/>
      <name val="宋体"/>
      <family val="3"/>
      <charset val="134"/>
    </font>
    <font>
      <vertAlign val="subscript"/>
      <sz val="12"/>
      <color theme="1"/>
      <name val="Times New Roman"/>
      <family val="1"/>
    </font>
    <font>
      <sz val="14"/>
      <color rgb="FFFF0000"/>
      <name val="黑体"/>
      <family val="3"/>
      <charset val="134"/>
    </font>
    <font>
      <sz val="11"/>
      <color rgb="FFFF0000"/>
      <name val="宋体"/>
      <family val="3"/>
      <charset val="134"/>
    </font>
    <font>
      <b/>
      <sz val="12"/>
      <name val="宋体"/>
      <family val="3"/>
      <charset val="134"/>
    </font>
    <font>
      <vertAlign val="subscript"/>
      <sz val="12"/>
      <color rgb="FFFF0000"/>
      <name val="宋体"/>
      <family val="3"/>
      <charset val="134"/>
    </font>
    <font>
      <sz val="10"/>
      <name val="宋体"/>
      <family val="3"/>
      <charset val="134"/>
    </font>
    <font>
      <sz val="11"/>
      <name val="Times New Roman"/>
      <family val="1"/>
    </font>
    <font>
      <sz val="12"/>
      <color rgb="FFFF0000"/>
      <name val="黑体"/>
      <family val="3"/>
      <charset val="134"/>
    </font>
    <font>
      <vertAlign val="subscript"/>
      <sz val="12"/>
      <color theme="1"/>
      <name val="宋体"/>
      <family val="3"/>
      <charset val="134"/>
    </font>
    <font>
      <vertAlign val="subscript"/>
      <sz val="11"/>
      <name val="宋体"/>
      <family val="3"/>
      <charset val="134"/>
    </font>
    <font>
      <sz val="12"/>
      <name val="Calibri"/>
      <family val="2"/>
    </font>
    <font>
      <sz val="12"/>
      <name val="Calibri"/>
      <family val="3"/>
      <charset val="161"/>
    </font>
    <font>
      <sz val="12"/>
      <color theme="1"/>
      <name val="Times New Roman"/>
      <family val="3"/>
      <charset val="134"/>
    </font>
    <font>
      <sz val="9"/>
      <color indexed="81"/>
      <name val="宋体"/>
      <family val="3"/>
      <charset val="134"/>
    </font>
    <font>
      <b/>
      <sz val="9"/>
      <color indexed="81"/>
      <name val="宋体"/>
      <family val="3"/>
      <charset val="134"/>
    </font>
    <font>
      <sz val="12"/>
      <name val="宋体"/>
      <family val="1"/>
      <charset val="134"/>
    </font>
    <font>
      <sz val="12"/>
      <name val="Times New Roman"/>
      <family val="3"/>
      <charset val="134"/>
    </font>
  </fonts>
  <fills count="23">
    <fill>
      <patternFill patternType="none"/>
    </fill>
    <fill>
      <patternFill patternType="gray125"/>
    </fill>
    <fill>
      <patternFill patternType="solid">
        <fgColor indexed="54"/>
        <bgColor indexed="64"/>
      </patternFill>
    </fill>
    <fill>
      <patternFill patternType="solid">
        <fgColor indexed="29"/>
        <bgColor indexed="64"/>
      </patternFill>
    </fill>
    <fill>
      <patternFill patternType="solid">
        <fgColor indexed="44"/>
        <bgColor indexed="64"/>
      </patternFill>
    </fill>
    <fill>
      <patternFill patternType="solid">
        <fgColor indexed="26"/>
        <bgColor indexed="64"/>
      </patternFill>
    </fill>
    <fill>
      <patternFill patternType="solid">
        <fgColor indexed="43"/>
        <bgColor indexed="64"/>
      </patternFill>
    </fill>
    <fill>
      <patternFill patternType="solid">
        <fgColor indexed="47"/>
        <bgColor indexed="64"/>
      </patternFill>
    </fill>
    <fill>
      <patternFill patternType="solid">
        <fgColor indexed="27"/>
        <bgColor indexed="64"/>
      </patternFill>
    </fill>
    <fill>
      <patternFill patternType="solid">
        <fgColor indexed="56"/>
        <bgColor indexed="64"/>
      </patternFill>
    </fill>
    <fill>
      <patternFill patternType="solid">
        <fgColor indexed="53"/>
        <bgColor indexed="64"/>
      </patternFill>
    </fill>
    <fill>
      <patternFill patternType="solid">
        <fgColor indexed="46"/>
        <bgColor indexed="64"/>
      </patternFill>
    </fill>
    <fill>
      <patternFill patternType="solid">
        <fgColor indexed="45"/>
        <bgColor indexed="64"/>
      </patternFill>
    </fill>
    <fill>
      <patternFill patternType="solid">
        <fgColor indexed="51"/>
        <bgColor indexed="64"/>
      </patternFill>
    </fill>
    <fill>
      <patternFill patternType="solid">
        <fgColor indexed="9"/>
        <bgColor indexed="64"/>
      </patternFill>
    </fill>
    <fill>
      <patternFill patternType="solid">
        <fgColor indexed="55"/>
        <bgColor indexed="64"/>
      </patternFill>
    </fill>
    <fill>
      <patternFill patternType="solid">
        <fgColor indexed="49"/>
        <bgColor indexed="64"/>
      </patternFill>
    </fill>
    <fill>
      <patternFill patternType="solid">
        <fgColor indexed="10"/>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s>
  <borders count="42">
    <border>
      <left/>
      <right/>
      <top/>
      <bottom/>
      <diagonal/>
    </border>
    <border>
      <left style="thin">
        <color indexed="23"/>
      </left>
      <right style="thin">
        <color indexed="23"/>
      </right>
      <top style="thin">
        <color indexed="23"/>
      </top>
      <bottom style="thin">
        <color indexed="23"/>
      </bottom>
      <diagonal/>
    </border>
    <border>
      <left/>
      <right/>
      <top/>
      <bottom style="double">
        <color indexed="10"/>
      </bottom>
      <diagonal/>
    </border>
    <border>
      <left/>
      <right/>
      <top/>
      <bottom style="medium">
        <color indexed="27"/>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style="thin">
        <color indexed="56"/>
      </top>
      <bottom style="double">
        <color indexed="56"/>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indexed="64"/>
      </left>
      <right style="thin">
        <color auto="1"/>
      </right>
      <top style="thin">
        <color indexed="64"/>
      </top>
      <bottom/>
      <diagonal/>
    </border>
    <border>
      <left style="thin">
        <color indexed="64"/>
      </left>
      <right style="thin">
        <color auto="1"/>
      </right>
      <top/>
      <bottom/>
      <diagonal/>
    </border>
    <border>
      <left style="thin">
        <color indexed="64"/>
      </left>
      <right style="thin">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style="thick">
        <color auto="1"/>
      </top>
      <bottom style="thin">
        <color indexed="64"/>
      </bottom>
      <diagonal/>
    </border>
    <border>
      <left/>
      <right style="thick">
        <color auto="1"/>
      </right>
      <top style="thick">
        <color auto="1"/>
      </top>
      <bottom style="thin">
        <color indexed="64"/>
      </bottom>
      <diagonal/>
    </border>
    <border>
      <left/>
      <right style="medium">
        <color auto="1"/>
      </right>
      <top style="thin">
        <color auto="1"/>
      </top>
      <bottom style="medium">
        <color auto="1"/>
      </bottom>
      <diagonal/>
    </border>
    <border>
      <left style="thin">
        <color auto="1"/>
      </left>
      <right/>
      <top style="thick">
        <color auto="1"/>
      </top>
      <bottom style="thin">
        <color indexed="64"/>
      </bottom>
      <diagonal/>
    </border>
    <border>
      <left style="medium">
        <color auto="1"/>
      </left>
      <right style="thin">
        <color auto="1"/>
      </right>
      <top/>
      <bottom/>
      <diagonal/>
    </border>
    <border>
      <left style="thin">
        <color auto="1"/>
      </left>
      <right style="medium">
        <color auto="1"/>
      </right>
      <top/>
      <bottom/>
      <diagonal/>
    </border>
    <border>
      <left style="thin">
        <color indexed="64"/>
      </left>
      <right style="thin">
        <color indexed="64"/>
      </right>
      <top/>
      <bottom style="thin">
        <color indexed="64"/>
      </bottom>
      <diagonal/>
    </border>
    <border>
      <left style="thin">
        <color auto="1"/>
      </left>
      <right style="thin">
        <color auto="1"/>
      </right>
      <top style="medium">
        <color auto="1"/>
      </top>
      <bottom/>
      <diagonal/>
    </border>
  </borders>
  <cellStyleXfs count="43">
    <xf numFmtId="0" fontId="0" fillId="0" borderId="0"/>
    <xf numFmtId="0" fontId="6" fillId="2" borderId="0" applyNumberFormat="0" applyBorder="0" applyAlignment="0" applyProtection="0">
      <alignment vertical="center"/>
    </xf>
    <xf numFmtId="0" fontId="10" fillId="0" borderId="0" applyNumberFormat="0" applyFill="0" applyBorder="0" applyAlignment="0" applyProtection="0">
      <alignment vertical="center"/>
    </xf>
    <xf numFmtId="0" fontId="7" fillId="3"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18" fillId="6" borderId="1" applyNumberFormat="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6" fillId="9" borderId="0" applyNumberFormat="0" applyBorder="0" applyAlignment="0" applyProtection="0">
      <alignment vertical="center"/>
    </xf>
    <xf numFmtId="0" fontId="7" fillId="5" borderId="0" applyNumberFormat="0" applyBorder="0" applyAlignment="0" applyProtection="0">
      <alignment vertical="center"/>
    </xf>
    <xf numFmtId="0" fontId="9" fillId="0" borderId="2" applyNumberFormat="0" applyFill="0" applyAlignment="0" applyProtection="0">
      <alignment vertical="center"/>
    </xf>
    <xf numFmtId="0" fontId="6" fillId="10" borderId="0" applyNumberFormat="0" applyBorder="0" applyAlignment="0" applyProtection="0">
      <alignment vertical="center"/>
    </xf>
    <xf numFmtId="0" fontId="7" fillId="8" borderId="0" applyNumberFormat="0" applyBorder="0" applyAlignment="0" applyProtection="0">
      <alignment vertical="center"/>
    </xf>
    <xf numFmtId="0" fontId="7" fillId="3" borderId="0" applyNumberFormat="0" applyBorder="0" applyAlignment="0" applyProtection="0">
      <alignment vertical="center"/>
    </xf>
    <xf numFmtId="0" fontId="7" fillId="6" borderId="0" applyNumberFormat="0" applyBorder="0" applyAlignment="0" applyProtection="0">
      <alignment vertical="center"/>
    </xf>
    <xf numFmtId="0" fontId="15" fillId="11"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5" borderId="0" applyNumberFormat="0" applyBorder="0" applyAlignment="0" applyProtection="0">
      <alignment vertical="center"/>
    </xf>
    <xf numFmtId="0" fontId="6" fillId="8" borderId="0" applyNumberFormat="0" applyBorder="0" applyAlignment="0" applyProtection="0">
      <alignment vertical="center"/>
    </xf>
    <xf numFmtId="0" fontId="14" fillId="0" borderId="3" applyNumberFormat="0" applyFill="0" applyAlignment="0" applyProtection="0">
      <alignment vertical="center"/>
    </xf>
    <xf numFmtId="0" fontId="6" fillId="10" borderId="0" applyNumberFormat="0" applyBorder="0" applyAlignment="0" applyProtection="0">
      <alignment vertical="center"/>
    </xf>
    <xf numFmtId="0" fontId="14"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6" fillId="13" borderId="0" applyNumberFormat="0" applyBorder="0" applyAlignment="0" applyProtection="0">
      <alignment vertical="center"/>
    </xf>
    <xf numFmtId="0" fontId="6" fillId="12" borderId="0" applyNumberFormat="0" applyBorder="0" applyAlignment="0" applyProtection="0">
      <alignment vertical="center"/>
    </xf>
    <xf numFmtId="0" fontId="17" fillId="14" borderId="4" applyNumberFormat="0" applyAlignment="0" applyProtection="0">
      <alignment vertical="center"/>
    </xf>
    <xf numFmtId="0" fontId="6" fillId="8" borderId="0" applyNumberFormat="0" applyBorder="0" applyAlignment="0" applyProtection="0">
      <alignment vertical="center"/>
    </xf>
    <xf numFmtId="0" fontId="6" fillId="3" borderId="0" applyNumberFormat="0" applyBorder="0" applyAlignment="0" applyProtection="0">
      <alignment vertical="center"/>
    </xf>
    <xf numFmtId="0" fontId="11" fillId="0" borderId="5" applyNumberFormat="0" applyFill="0" applyAlignment="0" applyProtection="0">
      <alignment vertical="center"/>
    </xf>
    <xf numFmtId="0" fontId="16" fillId="0" borderId="6" applyNumberFormat="0" applyFill="0" applyAlignment="0" applyProtection="0">
      <alignment vertical="center"/>
    </xf>
    <xf numFmtId="0" fontId="13" fillId="8" borderId="0" applyNumberFormat="0" applyBorder="0" applyAlignment="0" applyProtection="0">
      <alignment vertical="center"/>
    </xf>
    <xf numFmtId="0" fontId="5" fillId="0" borderId="7" applyNumberFormat="0" applyFill="0" applyAlignment="0" applyProtection="0">
      <alignment vertical="center"/>
    </xf>
    <xf numFmtId="0" fontId="20" fillId="14" borderId="1" applyNumberFormat="0" applyAlignment="0" applyProtection="0">
      <alignment vertical="center"/>
    </xf>
    <xf numFmtId="0" fontId="19" fillId="15" borderId="8" applyNumberFormat="0" applyAlignment="0" applyProtection="0">
      <alignment vertical="center"/>
    </xf>
    <xf numFmtId="0" fontId="8" fillId="0" borderId="0" applyNumberFormat="0" applyFill="0" applyBorder="0" applyAlignment="0" applyProtection="0">
      <alignment vertical="center"/>
    </xf>
    <xf numFmtId="0" fontId="6" fillId="13"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12" fillId="6" borderId="0" applyNumberFormat="0" applyBorder="0" applyAlignment="0" applyProtection="0">
      <alignment vertical="center"/>
    </xf>
    <xf numFmtId="0" fontId="23" fillId="5" borderId="9" applyNumberFormat="0" applyFont="0" applyAlignment="0" applyProtection="0">
      <alignment vertical="center"/>
    </xf>
    <xf numFmtId="0" fontId="23" fillId="0" borderId="0">
      <alignment vertical="center"/>
    </xf>
  </cellStyleXfs>
  <cellXfs count="16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0" fontId="3" fillId="0" borderId="0" xfId="0" applyFont="1" applyAlignment="1">
      <alignment horizontal="right"/>
    </xf>
    <xf numFmtId="0" fontId="3" fillId="14" borderId="0" xfId="0" applyFont="1" applyFill="1"/>
    <xf numFmtId="0" fontId="1" fillId="0" borderId="0" xfId="0" applyFont="1" applyAlignment="1">
      <alignment horizontal="left"/>
    </xf>
    <xf numFmtId="0" fontId="4" fillId="0" borderId="0" xfId="0" applyFont="1"/>
    <xf numFmtId="0" fontId="3" fillId="0" borderId="0" xfId="0" applyFont="1" applyAlignment="1">
      <alignment horizontal="left"/>
    </xf>
    <xf numFmtId="0" fontId="26" fillId="0" borderId="0" xfId="0" applyFont="1"/>
    <xf numFmtId="179" fontId="3" fillId="20" borderId="0" xfId="0" applyNumberFormat="1" applyFont="1" applyFill="1"/>
    <xf numFmtId="0" fontId="25" fillId="0" borderId="0" xfId="0" applyFont="1" applyAlignment="1">
      <alignment horizontal="center" vertical="center"/>
    </xf>
    <xf numFmtId="0" fontId="1" fillId="0" borderId="0" xfId="42" applyFont="1">
      <alignment vertical="center"/>
    </xf>
    <xf numFmtId="0" fontId="31" fillId="0" borderId="0" xfId="0" applyFont="1" applyAlignment="1">
      <alignment vertical="center"/>
    </xf>
    <xf numFmtId="0" fontId="4" fillId="19" borderId="0" xfId="0" applyFont="1" applyFill="1"/>
    <xf numFmtId="0" fontId="3" fillId="20" borderId="0" xfId="0" applyFont="1" applyFill="1"/>
    <xf numFmtId="179" fontId="3" fillId="0" borderId="0" xfId="0" applyNumberFormat="1" applyFont="1"/>
    <xf numFmtId="179" fontId="3" fillId="0" borderId="0" xfId="0" applyNumberFormat="1" applyFont="1" applyAlignment="1">
      <alignment horizontal="center"/>
    </xf>
    <xf numFmtId="0" fontId="3" fillId="19" borderId="0" xfId="0" applyFont="1" applyFill="1"/>
    <xf numFmtId="179" fontId="4" fillId="0" borderId="0" xfId="0" applyNumberFormat="1" applyFont="1"/>
    <xf numFmtId="0" fontId="33" fillId="0" borderId="0" xfId="0" applyFont="1"/>
    <xf numFmtId="0" fontId="33" fillId="0" borderId="0" xfId="0" applyFont="1" applyAlignment="1">
      <alignment horizontal="right"/>
    </xf>
    <xf numFmtId="0" fontId="34" fillId="0" borderId="0" xfId="0" applyFont="1"/>
    <xf numFmtId="0" fontId="34" fillId="20" borderId="0" xfId="0" applyFont="1" applyFill="1"/>
    <xf numFmtId="0" fontId="34" fillId="0" borderId="0" xfId="0" applyFont="1" applyAlignment="1">
      <alignment horizontal="left"/>
    </xf>
    <xf numFmtId="179" fontId="3" fillId="19" borderId="0" xfId="0" applyNumberFormat="1" applyFont="1" applyFill="1"/>
    <xf numFmtId="179" fontId="3" fillId="0" borderId="0" xfId="0" applyNumberFormat="1" applyFont="1" applyAlignment="1">
      <alignment horizontal="left"/>
    </xf>
    <xf numFmtId="0" fontId="3" fillId="0" borderId="11" xfId="0" applyFont="1" applyBorder="1" applyAlignment="1">
      <alignment horizontal="center"/>
    </xf>
    <xf numFmtId="0" fontId="25" fillId="0" borderId="0" xfId="0" applyFont="1" applyAlignment="1">
      <alignment horizontal="left" vertical="center"/>
    </xf>
    <xf numFmtId="0" fontId="37" fillId="0" borderId="0" xfId="0" applyFont="1"/>
    <xf numFmtId="0" fontId="3" fillId="19" borderId="0" xfId="0" applyFont="1" applyFill="1" applyAlignment="1">
      <alignment horizontal="right"/>
    </xf>
    <xf numFmtId="0" fontId="3" fillId="0" borderId="24" xfId="0" applyFont="1" applyBorder="1" applyAlignment="1">
      <alignment horizontal="center"/>
    </xf>
    <xf numFmtId="0" fontId="3" fillId="19" borderId="0" xfId="0" applyFont="1" applyFill="1" applyAlignment="1">
      <alignment horizontal="center"/>
    </xf>
    <xf numFmtId="0" fontId="40" fillId="0" borderId="28" xfId="0" applyFont="1" applyBorder="1" applyAlignment="1">
      <alignment horizontal="center"/>
    </xf>
    <xf numFmtId="0" fontId="38" fillId="0" borderId="0" xfId="0" applyFont="1"/>
    <xf numFmtId="0" fontId="4" fillId="0" borderId="12" xfId="0" applyFont="1" applyBorder="1" applyAlignment="1">
      <alignment horizontal="center"/>
    </xf>
    <xf numFmtId="180" fontId="41" fillId="0" borderId="10" xfId="0" applyNumberFormat="1"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4" fillId="0" borderId="16" xfId="0" applyFont="1" applyBorder="1" applyAlignment="1">
      <alignment horizontal="center"/>
    </xf>
    <xf numFmtId="0" fontId="33" fillId="0" borderId="0" xfId="0" applyFont="1" applyAlignment="1">
      <alignment horizontal="left"/>
    </xf>
    <xf numFmtId="180" fontId="33" fillId="0" borderId="0" xfId="0" applyNumberFormat="1" applyFont="1" applyAlignment="1">
      <alignment horizontal="center"/>
    </xf>
    <xf numFmtId="180" fontId="41" fillId="0" borderId="15" xfId="0" applyNumberFormat="1" applyFont="1" applyBorder="1" applyAlignment="1">
      <alignment horizontal="center"/>
    </xf>
    <xf numFmtId="0" fontId="4" fillId="0" borderId="10" xfId="0" applyFont="1" applyBorder="1" applyAlignment="1">
      <alignment horizontal="center"/>
    </xf>
    <xf numFmtId="0" fontId="3" fillId="21" borderId="0" xfId="0" applyFont="1" applyFill="1" applyAlignment="1">
      <alignment horizontal="left"/>
    </xf>
    <xf numFmtId="0" fontId="41" fillId="0" borderId="15" xfId="0" applyFont="1" applyBorder="1" applyAlignment="1">
      <alignment horizontal="center"/>
    </xf>
    <xf numFmtId="0" fontId="3" fillId="0" borderId="11" xfId="0" applyFont="1" applyBorder="1" applyAlignment="1">
      <alignment horizontal="center" wrapText="1"/>
    </xf>
    <xf numFmtId="0" fontId="3" fillId="0" borderId="25" xfId="0" applyFont="1" applyBorder="1" applyAlignment="1">
      <alignment horizontal="center" wrapText="1"/>
    </xf>
    <xf numFmtId="0" fontId="3" fillId="0" borderId="10" xfId="0" applyFont="1" applyBorder="1" applyAlignment="1">
      <alignment horizontal="center"/>
    </xf>
    <xf numFmtId="0" fontId="3" fillId="0" borderId="15" xfId="0" applyFont="1" applyBorder="1" applyAlignment="1">
      <alignment horizontal="center"/>
    </xf>
    <xf numFmtId="0" fontId="3" fillId="0" borderId="24"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xf>
    <xf numFmtId="0" fontId="3" fillId="0" borderId="14" xfId="0" applyFont="1" applyBorder="1" applyAlignment="1">
      <alignment horizontal="center"/>
    </xf>
    <xf numFmtId="0" fontId="4" fillId="0" borderId="41" xfId="0" applyFont="1" applyBorder="1" applyAlignment="1">
      <alignment horizontal="center"/>
    </xf>
    <xf numFmtId="0" fontId="27" fillId="0" borderId="0" xfId="0" applyFont="1"/>
    <xf numFmtId="0" fontId="4" fillId="22" borderId="41" xfId="0" applyFont="1" applyFill="1" applyBorder="1" applyAlignment="1">
      <alignment horizontal="center"/>
    </xf>
    <xf numFmtId="0" fontId="47" fillId="0" borderId="0" xfId="0" applyFont="1"/>
    <xf numFmtId="0" fontId="1" fillId="19" borderId="0" xfId="0" applyFont="1" applyFill="1"/>
    <xf numFmtId="0" fontId="0" fillId="0" borderId="0" xfId="0" applyAlignment="1">
      <alignment horizontal="right"/>
    </xf>
    <xf numFmtId="0" fontId="0" fillId="21" borderId="0" xfId="0" applyFill="1" applyAlignment="1">
      <alignment horizontal="right"/>
    </xf>
    <xf numFmtId="0" fontId="0" fillId="0" borderId="0" xfId="0" applyAlignment="1">
      <alignment horizontal="left"/>
    </xf>
    <xf numFmtId="176" fontId="0" fillId="18" borderId="0" xfId="0" applyNumberFormat="1" applyFill="1"/>
    <xf numFmtId="176" fontId="0" fillId="18" borderId="0" xfId="0" applyNumberFormat="1" applyFill="1" applyAlignment="1">
      <alignment horizontal="right"/>
    </xf>
    <xf numFmtId="179" fontId="0" fillId="19" borderId="0" xfId="0" applyNumberFormat="1" applyFill="1"/>
    <xf numFmtId="2" fontId="0" fillId="19" borderId="0" xfId="0" applyNumberFormat="1" applyFill="1" applyAlignment="1">
      <alignment horizontal="right"/>
    </xf>
    <xf numFmtId="0" fontId="0" fillId="19" borderId="0" xfId="0" applyFill="1"/>
    <xf numFmtId="177" fontId="0" fillId="0" borderId="0" xfId="0" applyNumberFormat="1" applyAlignment="1">
      <alignment horizontal="left"/>
    </xf>
    <xf numFmtId="178" fontId="0" fillId="0" borderId="0" xfId="0" applyNumberFormat="1"/>
    <xf numFmtId="179" fontId="0" fillId="0" borderId="0" xfId="0" applyNumberFormat="1"/>
    <xf numFmtId="0" fontId="0" fillId="20" borderId="0" xfId="0" applyFill="1"/>
    <xf numFmtId="0" fontId="0" fillId="21" borderId="0" xfId="0" applyFill="1" applyAlignment="1">
      <alignment horizontal="left"/>
    </xf>
    <xf numFmtId="176" fontId="0" fillId="0" borderId="0" xfId="0" applyNumberFormat="1"/>
    <xf numFmtId="0" fontId="0" fillId="21" borderId="0" xfId="0" applyFill="1" applyAlignment="1">
      <alignment horizontal="center"/>
    </xf>
    <xf numFmtId="0" fontId="0" fillId="18" borderId="0" xfId="0" applyFill="1" applyAlignment="1">
      <alignment horizontal="center"/>
    </xf>
    <xf numFmtId="176" fontId="0" fillId="0" borderId="0" xfId="0" applyNumberFormat="1" applyAlignment="1">
      <alignment horizontal="right"/>
    </xf>
    <xf numFmtId="179" fontId="0" fillId="20" borderId="0" xfId="0" applyNumberFormat="1" applyFill="1"/>
    <xf numFmtId="0" fontId="0" fillId="19" borderId="0" xfId="0" applyFill="1" applyAlignment="1">
      <alignment horizontal="left"/>
    </xf>
    <xf numFmtId="0" fontId="0" fillId="0" borderId="0" xfId="0" applyAlignment="1">
      <alignment horizontal="center"/>
    </xf>
    <xf numFmtId="180" fontId="0" fillId="0" borderId="0" xfId="0" applyNumberFormat="1" applyAlignment="1">
      <alignment horizontal="center"/>
    </xf>
    <xf numFmtId="0" fontId="0" fillId="19" borderId="0" xfId="0" applyFill="1" applyAlignment="1">
      <alignment horizontal="center"/>
    </xf>
    <xf numFmtId="179" fontId="0" fillId="0" borderId="11" xfId="0" applyNumberFormat="1" applyBorder="1" applyAlignment="1">
      <alignment horizontal="center"/>
    </xf>
    <xf numFmtId="179" fontId="0" fillId="0" borderId="25" xfId="0" applyNumberFormat="1"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36" xfId="0" applyBorder="1" applyAlignment="1">
      <alignment horizontal="center"/>
    </xf>
    <xf numFmtId="0" fontId="0" fillId="18" borderId="0" xfId="0" applyFill="1" applyAlignment="1">
      <alignment vertical="center"/>
    </xf>
    <xf numFmtId="0" fontId="0" fillId="0" borderId="0" xfId="0" applyAlignment="1">
      <alignment vertical="center"/>
    </xf>
    <xf numFmtId="179" fontId="0" fillId="18" borderId="0" xfId="0" applyNumberFormat="1" applyFill="1" applyAlignment="1">
      <alignment vertical="center"/>
    </xf>
    <xf numFmtId="179" fontId="0" fillId="0" borderId="0" xfId="0" applyNumberFormat="1" applyAlignment="1">
      <alignment vertical="center"/>
    </xf>
    <xf numFmtId="179" fontId="0" fillId="0" borderId="0" xfId="0" applyNumberFormat="1" applyAlignment="1">
      <alignment horizontal="right"/>
    </xf>
    <xf numFmtId="179" fontId="41" fillId="0" borderId="10" xfId="0" applyNumberFormat="1" applyFont="1" applyBorder="1" applyAlignment="1">
      <alignment horizontal="center"/>
    </xf>
    <xf numFmtId="179" fontId="0" fillId="18" borderId="0" xfId="0" applyNumberFormat="1" applyFill="1"/>
    <xf numFmtId="0" fontId="0" fillId="18" borderId="0" xfId="0" applyFill="1"/>
    <xf numFmtId="0" fontId="51" fillId="0" borderId="0" xfId="0" applyFont="1"/>
    <xf numFmtId="181" fontId="0" fillId="18" borderId="0" xfId="0" applyNumberFormat="1" applyFill="1" applyAlignment="1">
      <alignment horizontal="right"/>
    </xf>
    <xf numFmtId="2" fontId="0" fillId="0" borderId="0" xfId="0" applyNumberFormat="1" applyAlignment="1">
      <alignment horizontal="right"/>
    </xf>
    <xf numFmtId="181" fontId="0" fillId="0" borderId="0" xfId="0" applyNumberFormat="1"/>
    <xf numFmtId="182" fontId="0" fillId="0" borderId="0" xfId="0" applyNumberFormat="1" applyAlignment="1">
      <alignment horizontal="right"/>
    </xf>
    <xf numFmtId="178" fontId="0" fillId="0" borderId="10" xfId="0" applyNumberFormat="1" applyBorder="1" applyAlignment="1">
      <alignment horizontal="center"/>
    </xf>
    <xf numFmtId="178" fontId="0" fillId="0" borderId="13" xfId="0" applyNumberFormat="1" applyBorder="1" applyAlignment="1">
      <alignment horizontal="center"/>
    </xf>
    <xf numFmtId="176" fontId="0" fillId="0" borderId="10" xfId="0" applyNumberFormat="1" applyBorder="1" applyAlignment="1">
      <alignment horizontal="center"/>
    </xf>
    <xf numFmtId="176" fontId="0" fillId="0" borderId="13" xfId="0" applyNumberFormat="1" applyBorder="1" applyAlignment="1">
      <alignment horizontal="center"/>
    </xf>
    <xf numFmtId="176" fontId="0" fillId="0" borderId="15" xfId="0" applyNumberFormat="1" applyBorder="1" applyAlignment="1">
      <alignment horizontal="center"/>
    </xf>
    <xf numFmtId="176" fontId="0" fillId="0" borderId="16" xfId="0" applyNumberFormat="1" applyBorder="1" applyAlignment="1">
      <alignment horizontal="center"/>
    </xf>
    <xf numFmtId="179" fontId="0" fillId="0" borderId="10" xfId="0" applyNumberFormat="1" applyBorder="1" applyAlignment="1">
      <alignment horizontal="center"/>
    </xf>
    <xf numFmtId="179" fontId="0" fillId="0" borderId="13" xfId="0" applyNumberFormat="1" applyBorder="1" applyAlignment="1">
      <alignment horizontal="center"/>
    </xf>
    <xf numFmtId="179" fontId="0" fillId="0" borderId="15" xfId="0" applyNumberFormat="1" applyBorder="1" applyAlignment="1">
      <alignment horizontal="center"/>
    </xf>
    <xf numFmtId="179" fontId="0" fillId="0" borderId="16" xfId="0" applyNumberFormat="1" applyBorder="1" applyAlignment="1">
      <alignment horizontal="center"/>
    </xf>
    <xf numFmtId="0" fontId="25" fillId="0" borderId="0" xfId="0" applyFont="1" applyAlignment="1">
      <alignment horizontal="center" vertical="center"/>
    </xf>
    <xf numFmtId="0" fontId="4" fillId="0" borderId="19" xfId="0" applyFont="1" applyBorder="1" applyAlignment="1">
      <alignment horizontal="center" vertical="center"/>
    </xf>
    <xf numFmtId="0" fontId="4" fillId="0" borderId="39" xfId="0" applyFont="1" applyBorder="1" applyAlignment="1">
      <alignment horizontal="center" vertical="center"/>
    </xf>
    <xf numFmtId="0" fontId="4" fillId="0" borderId="20" xfId="0" applyFont="1" applyBorder="1" applyAlignment="1">
      <alignment horizontal="center" vertical="center"/>
    </xf>
    <xf numFmtId="0" fontId="4" fillId="0" borderId="22" xfId="0" applyFont="1" applyBorder="1" applyAlignment="1">
      <alignment horizontal="center" vertical="center"/>
    </xf>
    <xf numFmtId="0" fontId="4" fillId="0" borderId="40" xfId="0" applyFont="1" applyBorder="1" applyAlignment="1">
      <alignment horizontal="center" vertical="center"/>
    </xf>
    <xf numFmtId="0" fontId="4" fillId="0" borderId="27" xfId="0" applyFont="1" applyBorder="1" applyAlignment="1">
      <alignment horizontal="center"/>
    </xf>
    <xf numFmtId="0" fontId="41" fillId="0" borderId="27" xfId="0" applyFont="1" applyBorder="1" applyAlignment="1">
      <alignment horizontal="center"/>
    </xf>
    <xf numFmtId="180" fontId="41" fillId="0" borderId="21" xfId="0" applyNumberFormat="1" applyFont="1" applyBorder="1" applyAlignment="1">
      <alignment horizontal="center" vertical="center"/>
    </xf>
    <xf numFmtId="180" fontId="41" fillId="0" borderId="22" xfId="0" applyNumberFormat="1" applyFont="1" applyBorder="1" applyAlignment="1">
      <alignment horizontal="center" vertical="center"/>
    </xf>
    <xf numFmtId="180" fontId="41" fillId="0" borderId="23" xfId="0" applyNumberFormat="1" applyFont="1" applyBorder="1" applyAlignment="1">
      <alignment horizontal="center" vertical="center"/>
    </xf>
    <xf numFmtId="0" fontId="4" fillId="0" borderId="41" xfId="0" applyFont="1" applyBorder="1" applyAlignment="1">
      <alignment horizontal="center"/>
    </xf>
    <xf numFmtId="0" fontId="4" fillId="0" borderId="40" xfId="0" applyFont="1" applyBorder="1" applyAlignment="1">
      <alignment horizontal="center"/>
    </xf>
    <xf numFmtId="0" fontId="4" fillId="0" borderId="26" xfId="0" applyFont="1" applyBorder="1" applyAlignment="1">
      <alignment horizontal="center"/>
    </xf>
    <xf numFmtId="0" fontId="3" fillId="0" borderId="0" xfId="0" applyFont="1" applyAlignment="1">
      <alignment horizontal="left"/>
    </xf>
    <xf numFmtId="0" fontId="4" fillId="0" borderId="17" xfId="0" applyFont="1" applyBorder="1" applyAlignment="1">
      <alignment horizontal="center" vertical="center"/>
    </xf>
    <xf numFmtId="0" fontId="4" fillId="0" borderId="38" xfId="0" applyFont="1" applyBorder="1" applyAlignment="1">
      <alignment horizontal="center" vertical="center"/>
    </xf>
    <xf numFmtId="0" fontId="4" fillId="0" borderId="18" xfId="0" applyFont="1" applyBorder="1" applyAlignment="1">
      <alignment horizontal="center" vertical="center"/>
    </xf>
    <xf numFmtId="0" fontId="4" fillId="0" borderId="29" xfId="0" applyFont="1" applyBorder="1" applyAlignment="1">
      <alignment horizontal="center"/>
    </xf>
    <xf numFmtId="0" fontId="4" fillId="0" borderId="10" xfId="0" applyFont="1" applyBorder="1" applyAlignment="1">
      <alignment horizontal="center"/>
    </xf>
    <xf numFmtId="0" fontId="40" fillId="0" borderId="37" xfId="0" applyFont="1" applyBorder="1" applyAlignment="1">
      <alignment horizontal="center"/>
    </xf>
    <xf numFmtId="0" fontId="40" fillId="0" borderId="34" xfId="0" applyFont="1" applyBorder="1" applyAlignment="1">
      <alignment horizontal="center"/>
    </xf>
    <xf numFmtId="0" fontId="40" fillId="0" borderId="35" xfId="0" applyFont="1" applyBorder="1" applyAlignment="1">
      <alignment horizontal="center"/>
    </xf>
    <xf numFmtId="0" fontId="41" fillId="0" borderId="10" xfId="0" applyFont="1" applyBorder="1" applyAlignment="1">
      <alignment horizontal="center"/>
    </xf>
    <xf numFmtId="0" fontId="4" fillId="0" borderId="30" xfId="0" applyFont="1" applyBorder="1" applyAlignment="1">
      <alignment horizontal="center"/>
    </xf>
    <xf numFmtId="0" fontId="4" fillId="0" borderId="33" xfId="0" applyFont="1" applyBorder="1" applyAlignment="1">
      <alignment horizontal="center"/>
    </xf>
    <xf numFmtId="0" fontId="4" fillId="0" borderId="31" xfId="0" applyFont="1" applyBorder="1" applyAlignment="1">
      <alignment horizontal="center"/>
    </xf>
    <xf numFmtId="0" fontId="4" fillId="0" borderId="32" xfId="0" applyFont="1" applyBorder="1" applyAlignment="1">
      <alignment horizontal="center"/>
    </xf>
    <xf numFmtId="0" fontId="41" fillId="0" borderId="32" xfId="0" applyFont="1" applyBorder="1" applyAlignment="1">
      <alignment horizontal="center"/>
    </xf>
    <xf numFmtId="0" fontId="0" fillId="0" borderId="0" xfId="0" applyAlignment="1">
      <alignment horizontal="center" vertical="center"/>
    </xf>
    <xf numFmtId="0" fontId="3"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center"/>
    </xf>
    <xf numFmtId="0" fontId="29" fillId="0" borderId="0" xfId="0" applyFont="1" applyAlignment="1">
      <alignment horizontal="center"/>
    </xf>
    <xf numFmtId="0" fontId="29"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xf>
    <xf numFmtId="0" fontId="30" fillId="0" borderId="0" xfId="0" applyFont="1" applyAlignment="1">
      <alignment horizontal="center"/>
    </xf>
    <xf numFmtId="0" fontId="50" fillId="0" borderId="0" xfId="0" applyFont="1" applyAlignment="1">
      <alignment horizontal="center" vertical="center" wrapText="1"/>
    </xf>
    <xf numFmtId="0" fontId="0" fillId="0" borderId="0" xfId="0" applyAlignment="1">
      <alignment horizontal="center" vertical="center" wrapText="1"/>
    </xf>
    <xf numFmtId="0" fontId="4" fillId="0" borderId="10" xfId="0" applyFont="1" applyBorder="1" applyAlignment="1">
      <alignment horizontal="center" vertical="center"/>
    </xf>
    <xf numFmtId="0" fontId="4" fillId="0" borderId="24" xfId="0" applyFont="1" applyBorder="1" applyAlignment="1">
      <alignment horizontal="center" vertical="center"/>
    </xf>
    <xf numFmtId="0" fontId="4" fillId="0" borderId="12" xfId="0" applyFont="1" applyBorder="1" applyAlignment="1">
      <alignment horizontal="center" vertical="center"/>
    </xf>
    <xf numFmtId="180" fontId="41" fillId="0" borderId="10" xfId="0" applyNumberFormat="1" applyFont="1" applyBorder="1" applyAlignment="1">
      <alignment horizontal="center" vertical="center"/>
    </xf>
    <xf numFmtId="180" fontId="41" fillId="0" borderId="15" xfId="0" applyNumberFormat="1" applyFont="1" applyBorder="1" applyAlignment="1">
      <alignment horizontal="center" vertical="center"/>
    </xf>
    <xf numFmtId="0" fontId="4" fillId="0" borderId="25" xfId="0" applyFont="1" applyBorder="1" applyAlignment="1">
      <alignment horizontal="center" vertical="center"/>
    </xf>
    <xf numFmtId="0" fontId="4" fillId="0" borderId="13" xfId="0" applyFont="1" applyBorder="1" applyAlignment="1">
      <alignment horizontal="center" vertical="center"/>
    </xf>
  </cellXfs>
  <cellStyles count="43">
    <cellStyle name="20% - 着色 1" xfId="4" builtinId="30" customBuiltin="1"/>
    <cellStyle name="20% - 着色 2" xfId="3" builtinId="34" customBuiltin="1"/>
    <cellStyle name="20% - 着色 3" xfId="5" builtinId="38" customBuiltin="1"/>
    <cellStyle name="20% - 着色 4" xfId="7" builtinId="42" customBuiltin="1"/>
    <cellStyle name="20% - 着色 5" xfId="8" builtinId="46" customBuiltin="1"/>
    <cellStyle name="20% - 着色 6" xfId="10" builtinId="50" customBuiltin="1"/>
    <cellStyle name="40% - 着色 1" xfId="13" builtinId="31" customBuiltin="1"/>
    <cellStyle name="40% - 着色 2" xfId="14" builtinId="35" customBuiltin="1"/>
    <cellStyle name="40% - 着色 3" xfId="15" builtinId="39" customBuiltin="1"/>
    <cellStyle name="40% - 着色 4" xfId="17" builtinId="43" customBuiltin="1"/>
    <cellStyle name="40% - 着色 5" xfId="18" builtinId="47" customBuiltin="1"/>
    <cellStyle name="40% - 着色 6" xfId="19" builtinId="51" customBuiltin="1"/>
    <cellStyle name="60% - 着色 1" xfId="20" builtinId="32" customBuiltin="1"/>
    <cellStyle name="60% - 着色 2" xfId="22" builtinId="36" customBuiltin="1"/>
    <cellStyle name="60% - 着色 3" xfId="25" builtinId="40" customBuiltin="1"/>
    <cellStyle name="60% - 着色 4" xfId="26" builtinId="44" customBuiltin="1"/>
    <cellStyle name="60% - 着色 5" xfId="28" builtinId="48" customBuiltin="1"/>
    <cellStyle name="60% - 着色 6" xfId="29" builtinId="52" customBuiltin="1"/>
    <cellStyle name="标题" xfId="2" builtinId="15" customBuiltin="1"/>
    <cellStyle name="标题 1" xfId="30" builtinId="16" customBuiltin="1"/>
    <cellStyle name="标题 2" xfId="31" builtinId="17" customBuiltin="1"/>
    <cellStyle name="标题 3" xfId="21" builtinId="18" customBuiltin="1"/>
    <cellStyle name="标题 4" xfId="23" builtinId="19" customBuiltin="1"/>
    <cellStyle name="差" xfId="16" builtinId="27" customBuiltin="1"/>
    <cellStyle name="常规" xfId="0" builtinId="0"/>
    <cellStyle name="常规_Sheet5" xfId="42" xr:uid="{00000000-0005-0000-0000-000019000000}"/>
    <cellStyle name="好" xfId="32" builtinId="26" customBuiltin="1"/>
    <cellStyle name="汇总" xfId="33" builtinId="25" customBuiltin="1"/>
    <cellStyle name="计算" xfId="34" builtinId="22" customBuiltin="1"/>
    <cellStyle name="检查单元格" xfId="35" builtinId="23" customBuiltin="1"/>
    <cellStyle name="解释性文本" xfId="36" builtinId="53" customBuiltin="1"/>
    <cellStyle name="警告文本" xfId="24" builtinId="11" customBuiltin="1"/>
    <cellStyle name="链接单元格" xfId="11" builtinId="24" customBuiltin="1"/>
    <cellStyle name="适中" xfId="40" builtinId="28" customBuiltin="1"/>
    <cellStyle name="输出" xfId="27" builtinId="21" customBuiltin="1"/>
    <cellStyle name="输入" xfId="6" builtinId="20" customBuiltin="1"/>
    <cellStyle name="着色 1" xfId="9" builtinId="29" customBuiltin="1"/>
    <cellStyle name="着色 2" xfId="12" builtinId="33" customBuiltin="1"/>
    <cellStyle name="着色 3" xfId="37" builtinId="37" customBuiltin="1"/>
    <cellStyle name="着色 4" xfId="1" builtinId="41" customBuiltin="1"/>
    <cellStyle name="着色 5" xfId="38" builtinId="45" customBuiltin="1"/>
    <cellStyle name="着色 6" xfId="39" builtinId="49" customBuiltin="1"/>
    <cellStyle name="注释" xfId="41" builtinId="10"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zoomScale="130" zoomScaleNormal="130" workbookViewId="0">
      <selection activeCell="A8" sqref="A8"/>
    </sheetView>
  </sheetViews>
  <sheetFormatPr defaultRowHeight="15.75" x14ac:dyDescent="0.25"/>
  <sheetData>
    <row r="1" spans="1:1" x14ac:dyDescent="0.25">
      <c r="A1" s="35" t="s">
        <v>329</v>
      </c>
    </row>
    <row r="2" spans="1:1" x14ac:dyDescent="0.25">
      <c r="A2" s="35"/>
    </row>
    <row r="3" spans="1:1" x14ac:dyDescent="0.25">
      <c r="A3" t="s">
        <v>310</v>
      </c>
    </row>
    <row r="4" spans="1:1" x14ac:dyDescent="0.25">
      <c r="A4" t="s">
        <v>333</v>
      </c>
    </row>
    <row r="5" spans="1:1" x14ac:dyDescent="0.25">
      <c r="A5" t="s">
        <v>313</v>
      </c>
    </row>
    <row r="6" spans="1:1" x14ac:dyDescent="0.25">
      <c r="A6" s="3" t="s">
        <v>330</v>
      </c>
    </row>
    <row r="7" spans="1:1" x14ac:dyDescent="0.25">
      <c r="A7" t="s">
        <v>331</v>
      </c>
    </row>
    <row r="8" spans="1:1" x14ac:dyDescent="0.25">
      <c r="A8" t="s">
        <v>334</v>
      </c>
    </row>
    <row r="9" spans="1:1" x14ac:dyDescent="0.25">
      <c r="A9" s="56"/>
    </row>
    <row r="10" spans="1:1" x14ac:dyDescent="0.25">
      <c r="A10" s="35"/>
    </row>
  </sheetData>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zoomScaleNormal="100" workbookViewId="0">
      <selection activeCell="M16" sqref="M16"/>
    </sheetView>
  </sheetViews>
  <sheetFormatPr defaultRowHeight="15.75" x14ac:dyDescent="0.25"/>
  <sheetData>
    <row r="1" spans="1:9" ht="18.75" x14ac:dyDescent="0.25">
      <c r="A1" s="113" t="s">
        <v>12</v>
      </c>
      <c r="B1" s="113"/>
      <c r="C1" s="113"/>
      <c r="D1" s="113"/>
      <c r="E1" s="113"/>
      <c r="F1" s="113"/>
      <c r="G1" s="113"/>
      <c r="H1" s="113"/>
      <c r="I1" s="113"/>
    </row>
    <row r="3" spans="1:9" ht="18.75" x14ac:dyDescent="0.25">
      <c r="A3" s="1" t="s">
        <v>93</v>
      </c>
      <c r="B3" s="12"/>
      <c r="C3" s="29"/>
      <c r="E3" s="12"/>
      <c r="F3" s="12"/>
      <c r="G3" s="12"/>
      <c r="H3" s="12"/>
      <c r="I3" s="1"/>
    </row>
    <row r="4" spans="1:9" ht="18.75" x14ac:dyDescent="0.25">
      <c r="A4" s="1" t="s">
        <v>94</v>
      </c>
      <c r="B4" s="1"/>
      <c r="C4" s="29"/>
      <c r="D4" s="1"/>
      <c r="E4" s="1"/>
      <c r="F4" s="1"/>
      <c r="G4" s="1"/>
      <c r="H4" s="1"/>
      <c r="I4" s="1"/>
    </row>
    <row r="5" spans="1:9" x14ac:dyDescent="0.25">
      <c r="A5" s="1" t="s">
        <v>95</v>
      </c>
      <c r="B5" s="1"/>
      <c r="C5" s="1"/>
      <c r="D5" s="1"/>
      <c r="E5" s="1"/>
      <c r="F5" s="1"/>
      <c r="G5" s="1"/>
      <c r="H5" s="1"/>
      <c r="I5" s="1"/>
    </row>
    <row r="6" spans="1:9" x14ac:dyDescent="0.25">
      <c r="A6" s="1" t="s">
        <v>216</v>
      </c>
      <c r="B6" s="1"/>
      <c r="C6" s="1"/>
      <c r="D6" s="1"/>
      <c r="E6" s="1"/>
      <c r="F6" s="1"/>
      <c r="G6" s="1"/>
      <c r="H6" s="1"/>
      <c r="I6" s="1"/>
    </row>
    <row r="7" spans="1:9" x14ac:dyDescent="0.25">
      <c r="A7" s="1" t="s">
        <v>96</v>
      </c>
      <c r="B7" s="1"/>
      <c r="C7" s="1"/>
      <c r="D7" s="1"/>
      <c r="E7" s="1"/>
      <c r="F7" s="1"/>
      <c r="G7" s="1"/>
      <c r="H7" s="1"/>
      <c r="I7" s="1"/>
    </row>
    <row r="8" spans="1:9" ht="18.75" x14ac:dyDescent="0.25">
      <c r="A8" s="1" t="s">
        <v>97</v>
      </c>
      <c r="B8" s="12"/>
      <c r="C8" s="12"/>
      <c r="D8" s="12"/>
      <c r="E8" s="12"/>
      <c r="F8" s="12"/>
      <c r="G8" s="12"/>
      <c r="H8" s="12"/>
      <c r="I8" s="12"/>
    </row>
    <row r="9" spans="1:9" ht="18.75" x14ac:dyDescent="0.25">
      <c r="A9" s="1" t="s">
        <v>98</v>
      </c>
      <c r="B9" s="12"/>
      <c r="C9" s="12"/>
      <c r="D9" s="12"/>
      <c r="E9" s="12"/>
      <c r="F9" s="12"/>
      <c r="G9" s="12"/>
      <c r="H9" s="12"/>
      <c r="I9" s="14"/>
    </row>
    <row r="10" spans="1:9" ht="18.75" x14ac:dyDescent="0.25">
      <c r="A10" t="s">
        <v>212</v>
      </c>
      <c r="B10" s="12"/>
      <c r="C10" s="12"/>
      <c r="D10" s="12"/>
      <c r="E10" s="12"/>
      <c r="F10" s="12"/>
      <c r="G10" s="12"/>
      <c r="H10" s="12"/>
      <c r="I10" s="14"/>
    </row>
    <row r="11" spans="1:9" x14ac:dyDescent="0.25">
      <c r="A11" s="1" t="s">
        <v>321</v>
      </c>
    </row>
    <row r="12" spans="1:9" x14ac:dyDescent="0.25">
      <c r="A12" t="s">
        <v>213</v>
      </c>
    </row>
    <row r="13" spans="1:9" x14ac:dyDescent="0.25">
      <c r="A13" s="1" t="s">
        <v>99</v>
      </c>
      <c r="I13" s="14"/>
    </row>
    <row r="14" spans="1:9" ht="18.75" x14ac:dyDescent="0.25">
      <c r="A14" s="1" t="s">
        <v>211</v>
      </c>
      <c r="B14" s="12"/>
      <c r="C14" s="12"/>
      <c r="D14" s="12"/>
      <c r="E14" s="12"/>
      <c r="F14" s="12"/>
      <c r="G14" s="12"/>
      <c r="H14" s="12"/>
      <c r="I14" s="14"/>
    </row>
    <row r="15" spans="1:9" x14ac:dyDescent="0.25">
      <c r="A15" s="1" t="s">
        <v>328</v>
      </c>
      <c r="I15" s="14"/>
    </row>
    <row r="16" spans="1:9" x14ac:dyDescent="0.25">
      <c r="A16" s="1" t="s">
        <v>159</v>
      </c>
      <c r="I16" s="1"/>
    </row>
    <row r="17" spans="1:9" x14ac:dyDescent="0.25">
      <c r="A17" s="1" t="s">
        <v>100</v>
      </c>
      <c r="I17" s="1"/>
    </row>
    <row r="18" spans="1:9" ht="18.75" x14ac:dyDescent="0.25">
      <c r="A18" s="1" t="s">
        <v>101</v>
      </c>
      <c r="B18" s="12"/>
      <c r="C18" s="12"/>
      <c r="D18" s="12"/>
      <c r="E18" s="12"/>
      <c r="F18" s="12"/>
      <c r="G18" s="12"/>
      <c r="H18" s="12"/>
      <c r="I18" s="1"/>
    </row>
    <row r="19" spans="1:9" x14ac:dyDescent="0.25">
      <c r="A19" s="7" t="s">
        <v>102</v>
      </c>
      <c r="I19" s="1"/>
    </row>
    <row r="20" spans="1:9" x14ac:dyDescent="0.25">
      <c r="A20" s="7" t="s">
        <v>103</v>
      </c>
    </row>
    <row r="21" spans="1:9" x14ac:dyDescent="0.25">
      <c r="A21" s="7" t="s">
        <v>104</v>
      </c>
    </row>
    <row r="22" spans="1:9" x14ac:dyDescent="0.25">
      <c r="A22" s="7" t="s">
        <v>105</v>
      </c>
    </row>
    <row r="23" spans="1:9" x14ac:dyDescent="0.25">
      <c r="A23" s="7" t="s">
        <v>92</v>
      </c>
    </row>
    <row r="24" spans="1:9" x14ac:dyDescent="0.25">
      <c r="A24" s="1"/>
    </row>
    <row r="25" spans="1:9" x14ac:dyDescent="0.25">
      <c r="A25" s="13" t="s">
        <v>146</v>
      </c>
    </row>
    <row r="26" spans="1:9" x14ac:dyDescent="0.25">
      <c r="A26" s="13" t="s">
        <v>147</v>
      </c>
      <c r="B26" s="14"/>
      <c r="C26" s="14"/>
      <c r="D26" s="14"/>
      <c r="E26" s="14"/>
      <c r="F26" s="14"/>
      <c r="G26" s="14"/>
      <c r="H26" s="14"/>
    </row>
    <row r="27" spans="1:9" x14ac:dyDescent="0.25">
      <c r="A27" s="13" t="s">
        <v>106</v>
      </c>
      <c r="B27" s="1"/>
      <c r="C27" s="1"/>
      <c r="D27" s="1"/>
      <c r="E27" s="1"/>
      <c r="F27" s="1"/>
      <c r="G27" s="1"/>
      <c r="H27" s="1"/>
    </row>
    <row r="28" spans="1:9" x14ac:dyDescent="0.25">
      <c r="A28" s="13" t="s">
        <v>332</v>
      </c>
    </row>
  </sheetData>
  <mergeCells count="1">
    <mergeCell ref="A1:I1"/>
  </mergeCells>
  <phoneticPr fontId="2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
  <sheetViews>
    <sheetView topLeftCell="A7" workbookViewId="0">
      <selection activeCell="L28" sqref="L28"/>
    </sheetView>
  </sheetViews>
  <sheetFormatPr defaultRowHeight="15.75" x14ac:dyDescent="0.25"/>
  <sheetData>
    <row r="1" spans="1:10" ht="18.75" x14ac:dyDescent="0.25">
      <c r="A1" s="113" t="s">
        <v>12</v>
      </c>
      <c r="B1" s="113"/>
      <c r="C1" s="113"/>
      <c r="D1" s="113"/>
      <c r="E1" s="113"/>
      <c r="F1" s="113"/>
      <c r="G1" s="113"/>
      <c r="H1" s="113"/>
      <c r="I1" s="113"/>
    </row>
    <row r="3" spans="1:10" ht="18.75" x14ac:dyDescent="0.25">
      <c r="A3" s="1" t="s">
        <v>93</v>
      </c>
      <c r="B3" s="12"/>
      <c r="C3" s="29"/>
      <c r="E3" s="12"/>
      <c r="F3" s="12"/>
      <c r="G3" s="12"/>
      <c r="H3" s="12"/>
      <c r="I3" s="1"/>
    </row>
    <row r="4" spans="1:10" ht="18.75" x14ac:dyDescent="0.25">
      <c r="A4" s="1" t="s">
        <v>94</v>
      </c>
      <c r="B4" s="1"/>
      <c r="C4" s="29"/>
      <c r="D4" s="1"/>
      <c r="E4" s="1"/>
      <c r="F4" s="1"/>
      <c r="G4" s="1"/>
      <c r="H4" s="1"/>
      <c r="I4" s="1"/>
    </row>
    <row r="5" spans="1:10" x14ac:dyDescent="0.25">
      <c r="A5" s="1" t="s">
        <v>95</v>
      </c>
      <c r="B5" s="1"/>
      <c r="C5" s="1"/>
      <c r="D5" s="1"/>
      <c r="E5" s="1"/>
      <c r="F5" s="1"/>
      <c r="G5" s="1"/>
      <c r="H5" s="1"/>
      <c r="I5" s="1"/>
    </row>
    <row r="6" spans="1:10" x14ac:dyDescent="0.25">
      <c r="A6" s="1" t="s">
        <v>216</v>
      </c>
      <c r="B6" s="1"/>
      <c r="C6" s="1"/>
      <c r="D6" s="1"/>
      <c r="E6" s="1"/>
      <c r="F6" s="1"/>
      <c r="G6" s="1"/>
      <c r="H6" s="1"/>
      <c r="I6" s="1"/>
    </row>
    <row r="7" spans="1:10" x14ac:dyDescent="0.25">
      <c r="A7" s="1" t="s">
        <v>96</v>
      </c>
      <c r="B7" s="1"/>
      <c r="C7" s="1"/>
      <c r="D7" s="1"/>
      <c r="E7" s="1"/>
      <c r="F7" s="1"/>
      <c r="G7" s="1"/>
      <c r="H7" s="1"/>
      <c r="I7" s="1"/>
    </row>
    <row r="8" spans="1:10" ht="18.75" x14ac:dyDescent="0.25">
      <c r="A8" s="1" t="s">
        <v>97</v>
      </c>
      <c r="B8" s="12"/>
      <c r="C8" s="12"/>
      <c r="D8" s="12"/>
      <c r="E8" s="12"/>
      <c r="F8" s="12"/>
      <c r="G8" s="12"/>
      <c r="H8" s="12"/>
      <c r="I8" s="12"/>
      <c r="J8" s="1"/>
    </row>
    <row r="9" spans="1:10" ht="18.75" x14ac:dyDescent="0.25">
      <c r="A9" s="1" t="s">
        <v>98</v>
      </c>
      <c r="B9" s="12"/>
      <c r="C9" s="12"/>
      <c r="D9" s="12"/>
      <c r="E9" s="12"/>
      <c r="F9" s="12"/>
      <c r="G9" s="12"/>
      <c r="H9" s="12"/>
      <c r="I9" s="14"/>
    </row>
    <row r="10" spans="1:10" ht="18.75" x14ac:dyDescent="0.25">
      <c r="A10" t="s">
        <v>212</v>
      </c>
      <c r="B10" s="12"/>
      <c r="C10" s="12"/>
      <c r="D10" s="12"/>
      <c r="E10" s="12"/>
      <c r="F10" s="12"/>
      <c r="G10" s="12"/>
      <c r="H10" s="12"/>
      <c r="I10" s="14"/>
    </row>
    <row r="11" spans="1:10" x14ac:dyDescent="0.25">
      <c r="A11" s="1" t="s">
        <v>321</v>
      </c>
    </row>
    <row r="12" spans="1:10" x14ac:dyDescent="0.25">
      <c r="A12" t="s">
        <v>213</v>
      </c>
    </row>
    <row r="13" spans="1:10" x14ac:dyDescent="0.25">
      <c r="A13" s="1" t="s">
        <v>99</v>
      </c>
      <c r="I13" s="14"/>
    </row>
    <row r="14" spans="1:10" ht="18.75" x14ac:dyDescent="0.25">
      <c r="A14" s="1" t="s">
        <v>211</v>
      </c>
      <c r="B14" s="12"/>
      <c r="C14" s="12"/>
      <c r="D14" s="12"/>
      <c r="E14" s="12"/>
      <c r="F14" s="12"/>
      <c r="G14" s="12"/>
      <c r="H14" s="12"/>
      <c r="I14" s="14"/>
    </row>
    <row r="15" spans="1:10" x14ac:dyDescent="0.25">
      <c r="A15" s="1" t="s">
        <v>328</v>
      </c>
      <c r="I15" s="14"/>
    </row>
    <row r="16" spans="1:10" x14ac:dyDescent="0.25">
      <c r="A16" s="7" t="s">
        <v>273</v>
      </c>
      <c r="I16" s="14"/>
      <c r="J16" s="7"/>
    </row>
    <row r="17" spans="1:10" x14ac:dyDescent="0.25">
      <c r="A17" s="7" t="s">
        <v>274</v>
      </c>
      <c r="I17" s="14"/>
      <c r="J17" s="7"/>
    </row>
    <row r="18" spans="1:10" x14ac:dyDescent="0.25">
      <c r="A18" s="1" t="s">
        <v>159</v>
      </c>
      <c r="I18" s="1"/>
    </row>
    <row r="19" spans="1:10" x14ac:dyDescent="0.25">
      <c r="A19" s="7" t="s">
        <v>275</v>
      </c>
      <c r="I19" s="1"/>
      <c r="J19" s="7"/>
    </row>
    <row r="20" spans="1:10" x14ac:dyDescent="0.25">
      <c r="A20" s="7" t="s">
        <v>276</v>
      </c>
      <c r="I20" s="1"/>
      <c r="J20" s="7"/>
    </row>
    <row r="21" spans="1:10" x14ac:dyDescent="0.25">
      <c r="A21" s="1" t="s">
        <v>100</v>
      </c>
      <c r="I21" s="1"/>
    </row>
    <row r="22" spans="1:10" ht="18.75" x14ac:dyDescent="0.25">
      <c r="A22" s="1" t="s">
        <v>101</v>
      </c>
      <c r="B22" s="12"/>
      <c r="C22" s="12"/>
      <c r="D22" s="12"/>
      <c r="E22" s="12"/>
      <c r="F22" s="12"/>
      <c r="G22" s="12"/>
      <c r="H22" s="12"/>
      <c r="I22" s="1"/>
    </row>
    <row r="23" spans="1:10" x14ac:dyDescent="0.25">
      <c r="A23" s="7" t="s">
        <v>102</v>
      </c>
      <c r="I23" s="1"/>
    </row>
    <row r="24" spans="1:10" x14ac:dyDescent="0.25">
      <c r="A24" s="7" t="s">
        <v>103</v>
      </c>
    </row>
    <row r="25" spans="1:10" x14ac:dyDescent="0.25">
      <c r="A25" s="7" t="s">
        <v>265</v>
      </c>
    </row>
    <row r="26" spans="1:10" x14ac:dyDescent="0.25">
      <c r="A26" s="7" t="s">
        <v>267</v>
      </c>
    </row>
    <row r="27" spans="1:10" x14ac:dyDescent="0.25">
      <c r="A27" s="7" t="s">
        <v>268</v>
      </c>
    </row>
    <row r="28" spans="1:10" x14ac:dyDescent="0.25">
      <c r="A28" s="7" t="s">
        <v>269</v>
      </c>
    </row>
    <row r="29" spans="1:10" x14ac:dyDescent="0.25">
      <c r="A29" s="7" t="s">
        <v>266</v>
      </c>
    </row>
    <row r="30" spans="1:10" x14ac:dyDescent="0.25">
      <c r="A30" s="7" t="s">
        <v>270</v>
      </c>
    </row>
    <row r="31" spans="1:10" x14ac:dyDescent="0.25">
      <c r="A31" s="7" t="s">
        <v>271</v>
      </c>
    </row>
    <row r="32" spans="1:10" x14ac:dyDescent="0.25">
      <c r="A32" s="7" t="s">
        <v>272</v>
      </c>
    </row>
    <row r="33" spans="1:8" x14ac:dyDescent="0.25">
      <c r="A33" s="1"/>
    </row>
    <row r="34" spans="1:8" x14ac:dyDescent="0.25">
      <c r="A34" s="13" t="s">
        <v>146</v>
      </c>
    </row>
    <row r="35" spans="1:8" x14ac:dyDescent="0.25">
      <c r="A35" s="13" t="s">
        <v>147</v>
      </c>
      <c r="B35" s="14"/>
      <c r="C35" s="14"/>
      <c r="D35" s="14"/>
      <c r="E35" s="14"/>
      <c r="F35" s="14"/>
      <c r="G35" s="14"/>
      <c r="H35" s="14"/>
    </row>
    <row r="36" spans="1:8" x14ac:dyDescent="0.25">
      <c r="A36" s="13" t="s">
        <v>106</v>
      </c>
      <c r="B36" s="1"/>
      <c r="C36" s="1"/>
      <c r="D36" s="1"/>
      <c r="E36" s="1"/>
      <c r="F36" s="1"/>
      <c r="G36" s="1"/>
      <c r="H36" s="1"/>
    </row>
    <row r="37" spans="1:8" x14ac:dyDescent="0.25">
      <c r="A37" s="13" t="s">
        <v>332</v>
      </c>
    </row>
    <row r="38" spans="1:8" x14ac:dyDescent="0.25">
      <c r="A38" s="13"/>
    </row>
  </sheetData>
  <mergeCells count="1">
    <mergeCell ref="A1:I1"/>
  </mergeCells>
  <phoneticPr fontId="2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09"/>
  <sheetViews>
    <sheetView topLeftCell="A34" zoomScale="115" zoomScaleNormal="115" workbookViewId="0">
      <selection activeCell="F50" sqref="F50"/>
    </sheetView>
  </sheetViews>
  <sheetFormatPr defaultColWidth="9" defaultRowHeight="15.75" x14ac:dyDescent="0.25"/>
  <cols>
    <col min="1" max="1" width="12.625" customWidth="1"/>
    <col min="2" max="3" width="11.125" customWidth="1"/>
    <col min="4" max="4" width="12.75" customWidth="1"/>
    <col min="5" max="5" width="12.5" customWidth="1"/>
    <col min="6" max="6" width="14.875" customWidth="1"/>
    <col min="7" max="7" width="13.25" customWidth="1"/>
    <col min="9" max="9" width="12.875" customWidth="1"/>
    <col min="11" max="11" width="10.5" bestFit="1" customWidth="1"/>
    <col min="14" max="14" width="9.5" bestFit="1" customWidth="1"/>
  </cols>
  <sheetData>
    <row r="1" spans="1:8" ht="18.75" x14ac:dyDescent="0.25">
      <c r="B1" s="2" t="s">
        <v>142</v>
      </c>
    </row>
    <row r="2" spans="1:8" x14ac:dyDescent="0.25">
      <c r="A2" s="1" t="s">
        <v>37</v>
      </c>
    </row>
    <row r="3" spans="1:8" x14ac:dyDescent="0.25">
      <c r="A3" s="1" t="s">
        <v>83</v>
      </c>
    </row>
    <row r="4" spans="1:8" x14ac:dyDescent="0.25">
      <c r="A4" s="3" t="s">
        <v>143</v>
      </c>
      <c r="B4" s="3"/>
      <c r="C4" s="3"/>
      <c r="D4" s="3"/>
      <c r="E4" s="3"/>
      <c r="F4" s="3"/>
      <c r="G4" s="3"/>
    </row>
    <row r="5" spans="1:8" x14ac:dyDescent="0.25">
      <c r="A5" s="3" t="s">
        <v>38</v>
      </c>
    </row>
    <row r="6" spans="1:8" x14ac:dyDescent="0.25">
      <c r="A6" s="10" t="s">
        <v>66</v>
      </c>
      <c r="H6" s="10" t="s">
        <v>347</v>
      </c>
    </row>
    <row r="7" spans="1:8" x14ac:dyDescent="0.25">
      <c r="A7" s="10" t="s">
        <v>184</v>
      </c>
    </row>
    <row r="8" spans="1:8" x14ac:dyDescent="0.25">
      <c r="A8" s="10" t="s">
        <v>294</v>
      </c>
    </row>
    <row r="9" spans="1:8" x14ac:dyDescent="0.25">
      <c r="A9" s="23" t="s">
        <v>185</v>
      </c>
    </row>
    <row r="10" spans="1:8" x14ac:dyDescent="0.25">
      <c r="A10" s="3" t="s">
        <v>39</v>
      </c>
    </row>
    <row r="11" spans="1:8" x14ac:dyDescent="0.25">
      <c r="A11" s="10" t="s">
        <v>141</v>
      </c>
    </row>
    <row r="12" spans="1:8" x14ac:dyDescent="0.25">
      <c r="A12" s="23" t="s">
        <v>183</v>
      </c>
    </row>
    <row r="13" spans="1:8" x14ac:dyDescent="0.25">
      <c r="A13" s="3"/>
    </row>
    <row r="14" spans="1:8" x14ac:dyDescent="0.25">
      <c r="A14" s="1" t="s">
        <v>84</v>
      </c>
    </row>
    <row r="15" spans="1:8" x14ac:dyDescent="0.25">
      <c r="A15" s="1" t="s">
        <v>215</v>
      </c>
    </row>
    <row r="16" spans="1:8" x14ac:dyDescent="0.25">
      <c r="A16" t="s">
        <v>314</v>
      </c>
    </row>
    <row r="17" spans="1:8" x14ac:dyDescent="0.25">
      <c r="A17" s="3" t="s">
        <v>315</v>
      </c>
    </row>
    <row r="18" spans="1:8" x14ac:dyDescent="0.25">
      <c r="A18" s="3" t="s">
        <v>316</v>
      </c>
    </row>
    <row r="19" spans="1:8" x14ac:dyDescent="0.25">
      <c r="A19" s="3"/>
    </row>
    <row r="20" spans="1:8" x14ac:dyDescent="0.25">
      <c r="A20" s="1" t="s">
        <v>24</v>
      </c>
    </row>
    <row r="21" spans="1:8" x14ac:dyDescent="0.25">
      <c r="A21" t="s">
        <v>356</v>
      </c>
      <c r="B21" s="3"/>
      <c r="C21" s="3"/>
      <c r="D21" s="3"/>
    </row>
    <row r="22" spans="1:8" x14ac:dyDescent="0.25">
      <c r="A22" t="s">
        <v>357</v>
      </c>
      <c r="B22" s="3"/>
      <c r="C22" s="3"/>
      <c r="D22" s="3"/>
    </row>
    <row r="23" spans="1:8" x14ac:dyDescent="0.25">
      <c r="A23" t="s">
        <v>358</v>
      </c>
      <c r="B23" s="3"/>
      <c r="C23" s="3"/>
      <c r="D23" s="3"/>
      <c r="H23" s="10" t="s">
        <v>341</v>
      </c>
    </row>
    <row r="24" spans="1:8" x14ac:dyDescent="0.25">
      <c r="A24" t="s">
        <v>359</v>
      </c>
      <c r="B24" s="3"/>
      <c r="C24" s="3"/>
      <c r="D24" s="3"/>
    </row>
    <row r="25" spans="1:8" x14ac:dyDescent="0.25">
      <c r="B25" s="3"/>
      <c r="C25" s="3"/>
      <c r="D25" s="3"/>
    </row>
    <row r="26" spans="1:8" x14ac:dyDescent="0.25">
      <c r="A26" s="1" t="s">
        <v>85</v>
      </c>
      <c r="B26" s="3"/>
      <c r="C26" s="3"/>
      <c r="D26" s="3"/>
      <c r="E26" s="3"/>
      <c r="F26" s="3"/>
    </row>
    <row r="27" spans="1:8" x14ac:dyDescent="0.25">
      <c r="A27" s="3" t="s">
        <v>109</v>
      </c>
      <c r="B27" s="3"/>
      <c r="C27" s="19">
        <v>1</v>
      </c>
      <c r="D27" s="3"/>
      <c r="E27" s="3"/>
      <c r="F27" s="3"/>
    </row>
    <row r="28" spans="1:8" x14ac:dyDescent="0.25">
      <c r="A28" s="3" t="s">
        <v>111</v>
      </c>
      <c r="B28" s="3"/>
      <c r="C28" s="60" t="str">
        <f>IF(C27=1,"Ⅰ",IF(C27&gt;3,"Ⅲ","Ⅱ"))</f>
        <v>Ⅰ</v>
      </c>
      <c r="D28" s="3"/>
      <c r="E28" s="3"/>
      <c r="F28" s="3"/>
    </row>
    <row r="29" spans="1:8" x14ac:dyDescent="0.25">
      <c r="A29" s="3" t="s">
        <v>113</v>
      </c>
      <c r="B29" s="3"/>
      <c r="C29" s="31">
        <v>6</v>
      </c>
      <c r="D29" s="3"/>
      <c r="E29" s="3"/>
      <c r="F29" s="3"/>
    </row>
    <row r="30" spans="1:8" x14ac:dyDescent="0.25">
      <c r="A30" s="16" t="s">
        <v>180</v>
      </c>
      <c r="B30" s="3"/>
      <c r="C30" s="3"/>
      <c r="D30" s="33">
        <v>80</v>
      </c>
      <c r="E30" s="3" t="s">
        <v>11</v>
      </c>
      <c r="F30" s="3"/>
    </row>
    <row r="31" spans="1:8" ht="19.5" x14ac:dyDescent="0.3">
      <c r="A31" s="16" t="s">
        <v>112</v>
      </c>
      <c r="B31" s="3"/>
      <c r="C31" s="61">
        <v>14</v>
      </c>
      <c r="D31" s="62" t="s">
        <v>20</v>
      </c>
      <c r="E31" s="16" t="s">
        <v>186</v>
      </c>
    </row>
    <row r="32" spans="1:8" ht="18" customHeight="1" x14ac:dyDescent="0.35">
      <c r="A32" s="3" t="s">
        <v>360</v>
      </c>
      <c r="B32" s="3"/>
      <c r="C32" s="60">
        <v>9.81</v>
      </c>
      <c r="D32" s="62" t="s">
        <v>20</v>
      </c>
    </row>
    <row r="33" spans="1:7" x14ac:dyDescent="0.25">
      <c r="A33" s="3" t="s">
        <v>361</v>
      </c>
      <c r="B33" s="3"/>
      <c r="D33" s="62"/>
    </row>
    <row r="34" spans="1:7" ht="18.75" x14ac:dyDescent="0.3">
      <c r="A34" s="23" t="s">
        <v>295</v>
      </c>
      <c r="B34" s="3"/>
      <c r="C34" s="3"/>
      <c r="D34" s="3"/>
      <c r="E34" s="63">
        <v>0.55000000000000004</v>
      </c>
      <c r="F34" s="62"/>
    </row>
    <row r="35" spans="1:7" ht="18.75" x14ac:dyDescent="0.3">
      <c r="A35" s="23" t="s">
        <v>296</v>
      </c>
      <c r="B35" s="3"/>
      <c r="C35" s="3"/>
      <c r="D35" s="3"/>
      <c r="E35" s="64">
        <v>0.3</v>
      </c>
      <c r="F35" s="62" t="s">
        <v>0</v>
      </c>
    </row>
    <row r="36" spans="1:7" x14ac:dyDescent="0.25">
      <c r="B36" s="3"/>
      <c r="C36" s="3"/>
      <c r="D36" s="3"/>
      <c r="E36" s="3"/>
      <c r="F36" s="9"/>
    </row>
    <row r="37" spans="1:7" x14ac:dyDescent="0.25">
      <c r="A37" s="1" t="s">
        <v>86</v>
      </c>
      <c r="B37" s="3"/>
      <c r="C37" s="3"/>
      <c r="D37" s="3"/>
      <c r="E37" s="3"/>
      <c r="F37" s="9"/>
    </row>
    <row r="38" spans="1:7" x14ac:dyDescent="0.25">
      <c r="A38" s="3" t="s">
        <v>81</v>
      </c>
      <c r="B38" s="3"/>
      <c r="C38" s="3"/>
      <c r="D38" s="3"/>
      <c r="E38" s="3"/>
      <c r="F38" s="9"/>
    </row>
    <row r="39" spans="1:7" ht="16.5" thickBot="1" x14ac:dyDescent="0.3">
      <c r="C39" t="s">
        <v>362</v>
      </c>
      <c r="F39" s="9"/>
    </row>
    <row r="40" spans="1:7" ht="16.5" x14ac:dyDescent="0.25">
      <c r="A40" s="128" t="s">
        <v>74</v>
      </c>
      <c r="B40" s="124" t="s">
        <v>199</v>
      </c>
      <c r="C40" s="124"/>
      <c r="D40" s="55" t="s">
        <v>80</v>
      </c>
      <c r="E40" s="57" t="s">
        <v>178</v>
      </c>
      <c r="F40" s="57" t="s">
        <v>79</v>
      </c>
      <c r="G40" s="114" t="s">
        <v>78</v>
      </c>
    </row>
    <row r="41" spans="1:7" x14ac:dyDescent="0.25">
      <c r="A41" s="129"/>
      <c r="B41" s="125" t="s">
        <v>11</v>
      </c>
      <c r="C41" s="125"/>
      <c r="D41" s="117" t="s">
        <v>11</v>
      </c>
      <c r="E41" s="117" t="s">
        <v>13</v>
      </c>
      <c r="F41" s="117" t="s">
        <v>13</v>
      </c>
      <c r="G41" s="115"/>
    </row>
    <row r="42" spans="1:7" x14ac:dyDescent="0.25">
      <c r="A42" s="130"/>
      <c r="B42" s="44" t="s">
        <v>200</v>
      </c>
      <c r="C42" s="44" t="s">
        <v>201</v>
      </c>
      <c r="D42" s="118"/>
      <c r="E42" s="118"/>
      <c r="F42" s="118"/>
      <c r="G42" s="116"/>
    </row>
    <row r="43" spans="1:7" x14ac:dyDescent="0.25">
      <c r="A43" s="36" t="s">
        <v>75</v>
      </c>
      <c r="B43" s="95">
        <f>E119</f>
        <v>30.767172545844492</v>
      </c>
      <c r="C43" s="95">
        <f>E120</f>
        <v>40.11616998382442</v>
      </c>
      <c r="D43" s="121">
        <f>D135</f>
        <v>32</v>
      </c>
      <c r="E43" s="37">
        <f>C183</f>
        <v>47089.952146621035</v>
      </c>
      <c r="F43" s="37">
        <f>F183</f>
        <v>47769.955926574454</v>
      </c>
      <c r="G43" s="38" t="str">
        <f>IF(E43&lt;F43,"满足规范要求","不满足规范要求")</f>
        <v>满足规范要求</v>
      </c>
    </row>
    <row r="44" spans="1:7" x14ac:dyDescent="0.25">
      <c r="A44" s="36" t="s">
        <v>76</v>
      </c>
      <c r="B44" s="95">
        <f>E125</f>
        <v>31.739052724792895</v>
      </c>
      <c r="C44" s="95">
        <f>E126</f>
        <v>41.383368339621008</v>
      </c>
      <c r="D44" s="122"/>
      <c r="E44" s="37">
        <f>C193</f>
        <v>41338.555443193698</v>
      </c>
      <c r="F44" s="37">
        <f>F193</f>
        <v>47794.686114525895</v>
      </c>
      <c r="G44" s="38" t="str">
        <f>IF(E44&lt;F44,"满足规范要求","不满足规范要求")</f>
        <v>满足规范要求</v>
      </c>
    </row>
    <row r="45" spans="1:7" ht="16.5" thickBot="1" x14ac:dyDescent="0.3">
      <c r="A45" s="39" t="s">
        <v>77</v>
      </c>
      <c r="B45" s="46" t="s">
        <v>160</v>
      </c>
      <c r="C45" s="46" t="s">
        <v>160</v>
      </c>
      <c r="D45" s="123"/>
      <c r="E45" s="43">
        <f>IF(C29&gt;=6,C279,"-")</f>
        <v>40191.554915773537</v>
      </c>
      <c r="F45" s="43">
        <f>IF(C29&gt;=6,F279,"-")</f>
        <v>52239.153261537365</v>
      </c>
      <c r="G45" s="40" t="str">
        <f>IF(E45&lt;F45,"满足规范要求","不满足规范要求")</f>
        <v>满足规范要求</v>
      </c>
    </row>
    <row r="46" spans="1:7" x14ac:dyDescent="0.25">
      <c r="A46" t="s">
        <v>82</v>
      </c>
      <c r="F46" s="62"/>
    </row>
    <row r="47" spans="1:7" x14ac:dyDescent="0.25">
      <c r="A47" s="3" t="s">
        <v>363</v>
      </c>
      <c r="F47" s="62"/>
    </row>
    <row r="48" spans="1:7" x14ac:dyDescent="0.25">
      <c r="A48" s="3" t="s">
        <v>176</v>
      </c>
      <c r="D48" s="19" t="s">
        <v>177</v>
      </c>
      <c r="F48" s="62"/>
    </row>
    <row r="49" spans="1:7" ht="18.75" x14ac:dyDescent="0.3">
      <c r="A49" s="3" t="s">
        <v>29</v>
      </c>
      <c r="C49" s="65">
        <v>470</v>
      </c>
      <c r="D49" s="62" t="s">
        <v>1</v>
      </c>
    </row>
    <row r="50" spans="1:7" ht="18.75" x14ac:dyDescent="0.3">
      <c r="A50" s="3" t="s">
        <v>421</v>
      </c>
      <c r="C50" s="65">
        <v>471.9</v>
      </c>
      <c r="D50" s="62" t="s">
        <v>1</v>
      </c>
    </row>
    <row r="51" spans="1:7" ht="18.75" x14ac:dyDescent="0.3">
      <c r="A51" s="3" t="s">
        <v>364</v>
      </c>
      <c r="C51" s="65">
        <v>475.14</v>
      </c>
      <c r="D51" s="62" t="s">
        <v>1</v>
      </c>
    </row>
    <row r="52" spans="1:7" x14ac:dyDescent="0.25">
      <c r="A52" s="3"/>
    </row>
    <row r="53" spans="1:7" x14ac:dyDescent="0.25">
      <c r="A53" s="1" t="s">
        <v>320</v>
      </c>
    </row>
    <row r="54" spans="1:7" x14ac:dyDescent="0.25">
      <c r="A54" s="3" t="s">
        <v>144</v>
      </c>
      <c r="B54" s="3"/>
      <c r="C54" s="6" t="s">
        <v>2</v>
      </c>
      <c r="E54" s="3"/>
      <c r="F54" s="3"/>
    </row>
    <row r="55" spans="1:7" x14ac:dyDescent="0.25">
      <c r="A55" s="127" t="s">
        <v>187</v>
      </c>
      <c r="B55" s="127"/>
      <c r="C55" s="127"/>
      <c r="D55" s="66">
        <v>7.5</v>
      </c>
      <c r="E55" s="62" t="s">
        <v>1</v>
      </c>
    </row>
    <row r="56" spans="1:7" x14ac:dyDescent="0.25">
      <c r="A56" s="127" t="s">
        <v>188</v>
      </c>
      <c r="B56" s="127"/>
      <c r="C56" s="127"/>
      <c r="D56" s="66">
        <v>6.5</v>
      </c>
      <c r="E56" s="62" t="s">
        <v>1</v>
      </c>
    </row>
    <row r="57" spans="1:7" x14ac:dyDescent="0.25">
      <c r="A57" s="9" t="s">
        <v>189</v>
      </c>
      <c r="B57" s="3"/>
      <c r="C57" s="60"/>
      <c r="D57" s="67">
        <v>112.28</v>
      </c>
      <c r="E57" t="s">
        <v>3</v>
      </c>
      <c r="F57" s="68"/>
      <c r="G57">
        <f>(180-D57)/2</f>
        <v>33.86</v>
      </c>
    </row>
    <row r="58" spans="1:7" x14ac:dyDescent="0.25">
      <c r="A58" s="25" t="s">
        <v>190</v>
      </c>
      <c r="B58" s="3"/>
      <c r="D58" s="69">
        <f>D55/(2*SIN(D57/2/180*PI()))</f>
        <v>4.5158880012679656</v>
      </c>
      <c r="E58" s="62" t="s">
        <v>1</v>
      </c>
    </row>
    <row r="59" spans="1:7" ht="18.75" x14ac:dyDescent="0.35">
      <c r="A59" s="25" t="s">
        <v>191</v>
      </c>
      <c r="B59" s="3"/>
      <c r="D59" s="69">
        <f>D58-D58*COS((D57/180*PI()/2))</f>
        <v>1.9997909363684454</v>
      </c>
      <c r="E59" s="62" t="s">
        <v>1</v>
      </c>
    </row>
    <row r="60" spans="1:7" ht="18.75" x14ac:dyDescent="0.35">
      <c r="A60" s="23" t="s">
        <v>192</v>
      </c>
      <c r="B60" s="3"/>
      <c r="D60" s="69">
        <f>D56-D59</f>
        <v>4.500209063631555</v>
      </c>
      <c r="E60" s="62" t="s">
        <v>1</v>
      </c>
    </row>
    <row r="61" spans="1:7" x14ac:dyDescent="0.25">
      <c r="A61" s="23" t="s">
        <v>193</v>
      </c>
      <c r="B61" s="3"/>
      <c r="D61" s="70">
        <f>2*PI()*D57*D58/360</f>
        <v>8.8495855906209293</v>
      </c>
      <c r="E61" s="62" t="s">
        <v>1</v>
      </c>
    </row>
    <row r="62" spans="1:7" ht="19.5" x14ac:dyDescent="0.3">
      <c r="A62" s="3" t="s">
        <v>349</v>
      </c>
      <c r="B62" s="3"/>
      <c r="E62" s="69">
        <f>D55*D60+PI()*D58^2*(D57/360)-D55*(D58-D59)/2</f>
        <v>44.298072676302922</v>
      </c>
      <c r="F62" s="62" t="s">
        <v>18</v>
      </c>
    </row>
    <row r="64" spans="1:7" x14ac:dyDescent="0.25">
      <c r="A64" t="s">
        <v>214</v>
      </c>
    </row>
    <row r="65" spans="1:7" x14ac:dyDescent="0.25">
      <c r="A65" s="1" t="s">
        <v>40</v>
      </c>
    </row>
    <row r="66" spans="1:7" x14ac:dyDescent="0.25">
      <c r="A66" s="10" t="s">
        <v>344</v>
      </c>
      <c r="E66" s="71"/>
      <c r="F66" s="62"/>
    </row>
    <row r="67" spans="1:7" x14ac:dyDescent="0.25">
      <c r="A67" s="10" t="s">
        <v>345</v>
      </c>
      <c r="E67" s="71"/>
      <c r="F67" s="62"/>
    </row>
    <row r="68" spans="1:7" x14ac:dyDescent="0.25">
      <c r="A68" s="10" t="s">
        <v>346</v>
      </c>
      <c r="E68" s="71"/>
      <c r="F68" s="62"/>
    </row>
    <row r="69" spans="1:7" x14ac:dyDescent="0.25">
      <c r="A69" s="3"/>
    </row>
    <row r="70" spans="1:7" x14ac:dyDescent="0.25">
      <c r="A70" s="1" t="s">
        <v>210</v>
      </c>
    </row>
    <row r="71" spans="1:7" x14ac:dyDescent="0.25">
      <c r="A71" s="3" t="s">
        <v>317</v>
      </c>
      <c r="B71" s="3"/>
      <c r="C71" s="3"/>
      <c r="D71" s="3"/>
      <c r="E71" s="3"/>
      <c r="F71" s="3"/>
    </row>
    <row r="72" spans="1:7" x14ac:dyDescent="0.25">
      <c r="B72" s="21" t="s">
        <v>52</v>
      </c>
      <c r="D72" t="s">
        <v>365</v>
      </c>
      <c r="E72" s="3"/>
      <c r="F72" s="3"/>
    </row>
    <row r="73" spans="1:7" ht="18.75" x14ac:dyDescent="0.35">
      <c r="B73" s="21" t="s">
        <v>196</v>
      </c>
      <c r="D73" t="s">
        <v>366</v>
      </c>
      <c r="E73" s="3"/>
      <c r="F73" s="3"/>
    </row>
    <row r="74" spans="1:7" x14ac:dyDescent="0.25">
      <c r="A74" s="5" t="s">
        <v>4</v>
      </c>
      <c r="B74" t="s">
        <v>325</v>
      </c>
      <c r="C74" s="3"/>
      <c r="D74" s="3"/>
      <c r="E74" s="3"/>
      <c r="F74" s="3"/>
    </row>
    <row r="75" spans="1:7" x14ac:dyDescent="0.25">
      <c r="A75" s="3"/>
      <c r="B75" t="s">
        <v>367</v>
      </c>
      <c r="C75" s="3"/>
      <c r="E75" s="72">
        <v>3</v>
      </c>
      <c r="F75" s="3"/>
      <c r="G75" s="3"/>
    </row>
    <row r="76" spans="1:7" ht="18.75" x14ac:dyDescent="0.35">
      <c r="A76" s="3"/>
      <c r="B76" t="s">
        <v>368</v>
      </c>
      <c r="C76" s="3"/>
      <c r="E76" s="3"/>
      <c r="F76" s="45">
        <v>1.1000000000000001</v>
      </c>
      <c r="G76" s="3"/>
    </row>
    <row r="77" spans="1:7" ht="18.75" x14ac:dyDescent="0.35">
      <c r="A77" s="3"/>
      <c r="B77" t="s">
        <v>369</v>
      </c>
      <c r="C77" s="3"/>
      <c r="E77" s="3"/>
      <c r="F77" s="45">
        <v>5</v>
      </c>
      <c r="G77" s="3"/>
    </row>
    <row r="78" spans="1:7" x14ac:dyDescent="0.25">
      <c r="A78" s="3"/>
      <c r="B78" t="s">
        <v>370</v>
      </c>
      <c r="C78" s="3"/>
      <c r="D78" s="3"/>
      <c r="E78" s="3"/>
      <c r="F78" s="3"/>
      <c r="G78" s="3"/>
    </row>
    <row r="79" spans="1:7" ht="18.75" x14ac:dyDescent="0.25">
      <c r="A79" s="3"/>
      <c r="C79" t="s">
        <v>15</v>
      </c>
      <c r="D79" s="69">
        <f>E62</f>
        <v>44.298072676302922</v>
      </c>
      <c r="E79" s="62" t="s">
        <v>18</v>
      </c>
      <c r="G79" s="3"/>
    </row>
    <row r="80" spans="1:7" ht="18.75" x14ac:dyDescent="0.25">
      <c r="A80" s="3"/>
      <c r="B80" t="s">
        <v>371</v>
      </c>
      <c r="C80" s="3"/>
      <c r="D80">
        <f>C31</f>
        <v>14</v>
      </c>
      <c r="E80" s="62" t="s">
        <v>19</v>
      </c>
      <c r="G80" s="3"/>
    </row>
    <row r="81" spans="1:7" x14ac:dyDescent="0.25">
      <c r="A81" s="3"/>
      <c r="B81" t="s">
        <v>372</v>
      </c>
      <c r="C81" s="3"/>
      <c r="D81" s="3"/>
      <c r="E81" s="73">
        <f>E34</f>
        <v>0.55000000000000004</v>
      </c>
      <c r="F81" s="3"/>
      <c r="G81" s="3"/>
    </row>
    <row r="82" spans="1:7" x14ac:dyDescent="0.25">
      <c r="A82" s="3"/>
      <c r="B82" t="s">
        <v>53</v>
      </c>
      <c r="C82" s="3"/>
      <c r="D82" s="3"/>
      <c r="E82" s="3"/>
      <c r="F82" s="3"/>
    </row>
    <row r="83" spans="1:7" x14ac:dyDescent="0.25">
      <c r="A83" s="3"/>
      <c r="C83" s="3" t="s">
        <v>49</v>
      </c>
      <c r="D83" s="74">
        <v>1</v>
      </c>
      <c r="E83" s="3"/>
      <c r="F83" s="3"/>
    </row>
    <row r="84" spans="1:7" x14ac:dyDescent="0.25">
      <c r="A84" s="3"/>
      <c r="C84" s="3" t="s">
        <v>50</v>
      </c>
      <c r="D84" s="75">
        <v>0.65</v>
      </c>
      <c r="E84" s="3"/>
      <c r="F84" s="3"/>
    </row>
    <row r="85" spans="1:7" x14ac:dyDescent="0.25">
      <c r="A85" s="3"/>
      <c r="C85" s="9" t="s">
        <v>51</v>
      </c>
      <c r="D85" s="74">
        <v>0</v>
      </c>
      <c r="E85" s="3"/>
      <c r="F85" s="3"/>
    </row>
    <row r="86" spans="1:7" x14ac:dyDescent="0.25">
      <c r="A86" s="3"/>
      <c r="B86" t="s">
        <v>373</v>
      </c>
      <c r="C86" s="3"/>
      <c r="D86" s="3"/>
      <c r="E86" s="3"/>
      <c r="F86" s="76">
        <f>E35</f>
        <v>0.3</v>
      </c>
      <c r="G86" s="9" t="s">
        <v>14</v>
      </c>
    </row>
    <row r="87" spans="1:7" x14ac:dyDescent="0.25">
      <c r="A87" s="3"/>
      <c r="C87" s="3"/>
      <c r="D87" s="3"/>
      <c r="E87" s="3"/>
      <c r="F87" s="3"/>
    </row>
    <row r="88" spans="1:7" x14ac:dyDescent="0.25">
      <c r="A88" s="1" t="s">
        <v>327</v>
      </c>
      <c r="G88" s="3"/>
    </row>
    <row r="89" spans="1:7" ht="18.75" x14ac:dyDescent="0.3">
      <c r="A89" s="3" t="s">
        <v>342</v>
      </c>
      <c r="B89" s="5"/>
      <c r="D89" s="96">
        <f>369-32*0.0817</f>
        <v>366.38560000000001</v>
      </c>
      <c r="E89" t="s">
        <v>11</v>
      </c>
      <c r="F89" s="3"/>
      <c r="G89" s="3"/>
    </row>
    <row r="90" spans="1:7" ht="18.75" x14ac:dyDescent="0.3">
      <c r="A90" s="3" t="s">
        <v>318</v>
      </c>
      <c r="B90" s="5"/>
      <c r="D90" s="70"/>
      <c r="E90" s="77">
        <f>C49-D89</f>
        <v>103.61439999999999</v>
      </c>
      <c r="F90" s="62" t="s">
        <v>1</v>
      </c>
      <c r="G90" s="3"/>
    </row>
    <row r="91" spans="1:7" ht="18.75" x14ac:dyDescent="0.3">
      <c r="A91" s="3" t="s">
        <v>42</v>
      </c>
      <c r="B91" s="5"/>
      <c r="D91" s="70"/>
      <c r="E91" s="77">
        <f>E90-D60</f>
        <v>99.114190936368431</v>
      </c>
      <c r="F91" s="62" t="s">
        <v>1</v>
      </c>
      <c r="G91" s="3"/>
    </row>
    <row r="92" spans="1:7" ht="18.75" x14ac:dyDescent="0.3">
      <c r="A92" s="3" t="s">
        <v>43</v>
      </c>
      <c r="B92" s="3"/>
      <c r="C92" s="3"/>
      <c r="E92" s="77">
        <f>C50-D89</f>
        <v>105.51439999999997</v>
      </c>
      <c r="F92" s="62" t="s">
        <v>1</v>
      </c>
      <c r="G92" s="3"/>
    </row>
    <row r="93" spans="1:7" ht="18.75" x14ac:dyDescent="0.3">
      <c r="A93" s="3" t="s">
        <v>44</v>
      </c>
      <c r="B93" s="3"/>
      <c r="C93" s="3"/>
      <c r="E93" s="77">
        <f>E92-D60</f>
        <v>101.01419093636841</v>
      </c>
      <c r="F93" s="62" t="s">
        <v>1</v>
      </c>
      <c r="G93" s="3"/>
    </row>
    <row r="94" spans="1:7" ht="18.75" x14ac:dyDescent="0.3">
      <c r="A94" s="3" t="s">
        <v>45</v>
      </c>
      <c r="B94" s="3"/>
      <c r="C94" s="3"/>
      <c r="E94" s="77">
        <f>C51-D89</f>
        <v>108.75439999999998</v>
      </c>
      <c r="F94" s="62" t="s">
        <v>1</v>
      </c>
      <c r="G94" s="3"/>
    </row>
    <row r="95" spans="1:7" ht="18.75" x14ac:dyDescent="0.3">
      <c r="A95" s="3" t="s">
        <v>46</v>
      </c>
      <c r="B95" s="5"/>
      <c r="D95" s="3"/>
      <c r="E95" s="77">
        <f>E94-D60</f>
        <v>104.25419093636842</v>
      </c>
      <c r="F95" t="s">
        <v>11</v>
      </c>
      <c r="G95" s="3"/>
    </row>
    <row r="96" spans="1:7" x14ac:dyDescent="0.25">
      <c r="A96" s="3" t="s">
        <v>47</v>
      </c>
    </row>
    <row r="97" spans="1:9" ht="18.75" x14ac:dyDescent="0.3">
      <c r="A97" s="3" t="s">
        <v>422</v>
      </c>
      <c r="E97" s="70">
        <f>(E90+E91)*D60*D55*C32/2</f>
        <v>33562.010346888979</v>
      </c>
      <c r="F97" s="9" t="s">
        <v>5</v>
      </c>
    </row>
    <row r="98" spans="1:9" ht="18.75" x14ac:dyDescent="0.3">
      <c r="A98" s="3" t="s">
        <v>31</v>
      </c>
      <c r="E98" s="70">
        <f>(E92+E93)*D60*D55*C32/2</f>
        <v>34191.105822416692</v>
      </c>
      <c r="F98" s="9" t="s">
        <v>5</v>
      </c>
    </row>
    <row r="99" spans="1:9" ht="18.75" x14ac:dyDescent="0.3">
      <c r="A99" s="3" t="s">
        <v>322</v>
      </c>
      <c r="E99" s="70">
        <f>(E94+E95)*D60*D55*C32/2</f>
        <v>35263.879159632372</v>
      </c>
      <c r="F99" s="9" t="s">
        <v>5</v>
      </c>
    </row>
    <row r="100" spans="1:9" x14ac:dyDescent="0.25">
      <c r="A100" s="3" t="s">
        <v>319</v>
      </c>
      <c r="F100" s="9"/>
    </row>
    <row r="101" spans="1:9" ht="19.5" x14ac:dyDescent="0.3">
      <c r="A101" s="3" t="s">
        <v>21</v>
      </c>
      <c r="E101" s="94">
        <f>E62-D55*D60</f>
        <v>10.546504699066261</v>
      </c>
      <c r="F101" s="62" t="s">
        <v>17</v>
      </c>
    </row>
    <row r="102" spans="1:9" ht="18.75" x14ac:dyDescent="0.3">
      <c r="A102" s="3" t="s">
        <v>22</v>
      </c>
      <c r="F102" s="70">
        <f>D59/3</f>
        <v>0.66659697878948176</v>
      </c>
      <c r="G102" t="s">
        <v>11</v>
      </c>
    </row>
    <row r="103" spans="1:9" ht="18.75" x14ac:dyDescent="0.3">
      <c r="A103" s="3" t="s">
        <v>108</v>
      </c>
      <c r="F103" s="70">
        <f>E91-F102</f>
        <v>98.447593957578945</v>
      </c>
      <c r="G103" t="s">
        <v>11</v>
      </c>
    </row>
    <row r="104" spans="1:9" ht="18.75" x14ac:dyDescent="0.3">
      <c r="A104" s="3" t="s">
        <v>205</v>
      </c>
      <c r="F104" s="70">
        <f>E93-F102</f>
        <v>100.34759395757892</v>
      </c>
      <c r="G104" t="s">
        <v>11</v>
      </c>
    </row>
    <row r="105" spans="1:9" ht="18.75" x14ac:dyDescent="0.3">
      <c r="A105" s="3" t="s">
        <v>206</v>
      </c>
      <c r="F105" s="70">
        <f>E95-F102</f>
        <v>103.58759395757893</v>
      </c>
      <c r="G105" t="s">
        <v>11</v>
      </c>
    </row>
    <row r="106" spans="1:9" ht="18.75" x14ac:dyDescent="0.3">
      <c r="A106" s="3" t="s">
        <v>32</v>
      </c>
      <c r="E106" s="69">
        <f>E101*F103*C32</f>
        <v>10185.507300519517</v>
      </c>
      <c r="F106" s="62" t="s">
        <v>5</v>
      </c>
    </row>
    <row r="107" spans="1:9" ht="18.75" x14ac:dyDescent="0.3">
      <c r="A107" s="3" t="s">
        <v>33</v>
      </c>
      <c r="E107" s="70">
        <f>E101*F104*C32</f>
        <v>10382.083601605409</v>
      </c>
      <c r="F107" s="62" t="s">
        <v>5</v>
      </c>
    </row>
    <row r="108" spans="1:9" ht="18.75" x14ac:dyDescent="0.3">
      <c r="A108" s="3" t="s">
        <v>34</v>
      </c>
      <c r="E108" s="70">
        <f>E101*F105*C32</f>
        <v>10717.297925562412</v>
      </c>
      <c r="F108" s="62" t="s">
        <v>5</v>
      </c>
    </row>
    <row r="109" spans="1:9" x14ac:dyDescent="0.25">
      <c r="A109" s="3" t="s">
        <v>326</v>
      </c>
      <c r="E109" s="70"/>
      <c r="F109" s="62"/>
    </row>
    <row r="110" spans="1:9" ht="18.75" x14ac:dyDescent="0.3">
      <c r="A110" s="3" t="s">
        <v>35</v>
      </c>
      <c r="E110" s="70">
        <f>E106+E97</f>
        <v>43747.517647408495</v>
      </c>
      <c r="F110" s="62" t="s">
        <v>5</v>
      </c>
      <c r="G110" s="70"/>
      <c r="H110" s="62"/>
      <c r="I110" s="70"/>
    </row>
    <row r="111" spans="1:9" ht="18.75" x14ac:dyDescent="0.3">
      <c r="A111" s="3" t="s">
        <v>73</v>
      </c>
      <c r="E111" s="70">
        <f>E107+E98</f>
        <v>44573.189424022101</v>
      </c>
      <c r="F111" s="62" t="s">
        <v>5</v>
      </c>
      <c r="G111" s="70"/>
      <c r="H111" s="62"/>
      <c r="I111" s="70"/>
    </row>
    <row r="112" spans="1:9" ht="18.75" x14ac:dyDescent="0.3">
      <c r="A112" s="3" t="s">
        <v>36</v>
      </c>
      <c r="E112" s="70">
        <f>E108+E99</f>
        <v>45981.17708519478</v>
      </c>
      <c r="F112" s="62" t="s">
        <v>5</v>
      </c>
      <c r="H112" s="62"/>
      <c r="I112" s="70"/>
    </row>
    <row r="114" spans="1:7" x14ac:dyDescent="0.25">
      <c r="A114" s="1" t="s">
        <v>194</v>
      </c>
      <c r="E114" s="3"/>
      <c r="F114" s="9"/>
    </row>
    <row r="115" spans="1:7" x14ac:dyDescent="0.25">
      <c r="A115" t="s">
        <v>374</v>
      </c>
      <c r="F115" s="62"/>
      <c r="G115" s="3"/>
    </row>
    <row r="116" spans="1:7" ht="18.75" x14ac:dyDescent="0.35">
      <c r="B116" t="s">
        <v>375</v>
      </c>
      <c r="C116" s="77">
        <f>E111</f>
        <v>44573.189424022101</v>
      </c>
      <c r="D116" s="62" t="s">
        <v>13</v>
      </c>
    </row>
    <row r="117" spans="1:7" x14ac:dyDescent="0.25">
      <c r="B117" t="s">
        <v>54</v>
      </c>
      <c r="C117" s="70">
        <f>D79*D80*E81</f>
        <v>341.09515960753254</v>
      </c>
      <c r="D117" s="62" t="s">
        <v>6</v>
      </c>
      <c r="G117" s="3"/>
    </row>
    <row r="118" spans="1:7" x14ac:dyDescent="0.25">
      <c r="B118" t="s">
        <v>7</v>
      </c>
      <c r="C118" s="70">
        <f>(D55*D83+D61*D85+D60*2*D84)*F86*1000</f>
        <v>4005.0815348163064</v>
      </c>
      <c r="D118" s="62" t="s">
        <v>6</v>
      </c>
      <c r="G118" s="3"/>
    </row>
    <row r="119" spans="1:7" ht="18.75" x14ac:dyDescent="0.35">
      <c r="A119" s="5"/>
      <c r="B119" s="58" t="s">
        <v>351</v>
      </c>
      <c r="E119" s="77">
        <f>E75*C116/(C117+C118)</f>
        <v>30.767172545844492</v>
      </c>
      <c r="F119" s="62" t="s">
        <v>1</v>
      </c>
    </row>
    <row r="120" spans="1:7" ht="18.75" x14ac:dyDescent="0.35">
      <c r="B120" s="21" t="s">
        <v>203</v>
      </c>
      <c r="E120" s="77">
        <f>C116/(C117/F76+C118/F77)</f>
        <v>40.11616998382442</v>
      </c>
      <c r="F120" s="62" t="s">
        <v>198</v>
      </c>
    </row>
    <row r="121" spans="1:7" x14ac:dyDescent="0.25">
      <c r="A121" t="s">
        <v>197</v>
      </c>
    </row>
    <row r="122" spans="1:7" ht="18.75" x14ac:dyDescent="0.35">
      <c r="B122" t="s">
        <v>376</v>
      </c>
      <c r="C122" s="77">
        <f>E112</f>
        <v>45981.17708519478</v>
      </c>
      <c r="D122" s="62" t="s">
        <v>13</v>
      </c>
      <c r="F122" s="62"/>
    </row>
    <row r="123" spans="1:7" x14ac:dyDescent="0.25">
      <c r="B123" t="s">
        <v>54</v>
      </c>
      <c r="C123" s="70">
        <f>C117</f>
        <v>341.09515960753254</v>
      </c>
      <c r="D123" s="62" t="s">
        <v>6</v>
      </c>
    </row>
    <row r="124" spans="1:7" x14ac:dyDescent="0.25">
      <c r="B124" t="s">
        <v>7</v>
      </c>
      <c r="C124" s="70">
        <f>C118</f>
        <v>4005.0815348163064</v>
      </c>
      <c r="D124" s="62" t="s">
        <v>6</v>
      </c>
    </row>
    <row r="125" spans="1:7" ht="18.75" x14ac:dyDescent="0.35">
      <c r="B125" s="21" t="s">
        <v>202</v>
      </c>
      <c r="E125" s="77">
        <f>E75*C122/(C123+C124)</f>
        <v>31.739052724792895</v>
      </c>
      <c r="F125" s="62" t="s">
        <v>1</v>
      </c>
    </row>
    <row r="126" spans="1:7" ht="18.75" x14ac:dyDescent="0.35">
      <c r="B126" s="21" t="s">
        <v>350</v>
      </c>
      <c r="E126" s="77">
        <f>C122/(C123/F76+C124/F77)</f>
        <v>41.383368339621008</v>
      </c>
      <c r="F126" s="62" t="s">
        <v>198</v>
      </c>
    </row>
    <row r="127" spans="1:7" x14ac:dyDescent="0.25">
      <c r="A127" s="3"/>
      <c r="B127" s="3"/>
      <c r="C127" s="3"/>
      <c r="E127" s="3"/>
      <c r="F127" s="4"/>
    </row>
    <row r="128" spans="1:7" x14ac:dyDescent="0.25">
      <c r="A128" s="1" t="s">
        <v>55</v>
      </c>
      <c r="B128" s="3"/>
      <c r="C128" s="3"/>
      <c r="E128" s="17"/>
      <c r="F128" s="4"/>
      <c r="G128" s="3"/>
    </row>
    <row r="129" spans="1:7" x14ac:dyDescent="0.25">
      <c r="A129" t="s">
        <v>195</v>
      </c>
      <c r="E129" s="3"/>
      <c r="G129" s="3"/>
    </row>
    <row r="130" spans="1:7" x14ac:dyDescent="0.25">
      <c r="A130" s="3" t="s">
        <v>352</v>
      </c>
      <c r="E130" s="3"/>
      <c r="G130" s="3"/>
    </row>
    <row r="131" spans="1:7" x14ac:dyDescent="0.25">
      <c r="B131" s="21" t="s">
        <v>56</v>
      </c>
      <c r="C131" s="22"/>
      <c r="D131" s="22"/>
      <c r="E131" s="23"/>
      <c r="F131" s="23"/>
      <c r="G131" s="3"/>
    </row>
    <row r="132" spans="1:7" x14ac:dyDescent="0.25">
      <c r="B132" t="s">
        <v>8</v>
      </c>
      <c r="C132" s="70">
        <f>(E62/PI())^0.5*2</f>
        <v>7.5101303508674926</v>
      </c>
      <c r="D132" s="62" t="s">
        <v>1</v>
      </c>
      <c r="E132" s="70">
        <f>2*SQRT(E62/PI())</f>
        <v>7.5101303508674926</v>
      </c>
      <c r="G132" s="3"/>
    </row>
    <row r="133" spans="1:7" x14ac:dyDescent="0.25">
      <c r="B133" s="3" t="s">
        <v>9</v>
      </c>
      <c r="C133" s="3"/>
      <c r="D133" s="70">
        <f>2*C132</f>
        <v>15.020260701734985</v>
      </c>
      <c r="E133" s="62" t="s">
        <v>1</v>
      </c>
      <c r="G133" s="3"/>
    </row>
    <row r="134" spans="1:7" x14ac:dyDescent="0.25">
      <c r="B134" s="3" t="s">
        <v>10</v>
      </c>
      <c r="C134" s="3"/>
      <c r="D134" s="70">
        <f>3*C132</f>
        <v>22.530391052602479</v>
      </c>
      <c r="E134" s="62" t="s">
        <v>1</v>
      </c>
      <c r="G134" s="3"/>
    </row>
    <row r="135" spans="1:7" x14ac:dyDescent="0.25">
      <c r="A135" s="3" t="s">
        <v>57</v>
      </c>
      <c r="B135" s="3"/>
      <c r="C135" s="3"/>
      <c r="D135" s="97">
        <v>32</v>
      </c>
      <c r="E135" s="62" t="s">
        <v>1</v>
      </c>
      <c r="G135" s="3"/>
    </row>
    <row r="136" spans="1:7" x14ac:dyDescent="0.25">
      <c r="A136" s="3" t="s">
        <v>58</v>
      </c>
      <c r="B136" s="3"/>
      <c r="C136" s="3"/>
      <c r="D136" s="3"/>
      <c r="E136" s="4"/>
      <c r="F136" s="4"/>
      <c r="G136" s="3"/>
    </row>
    <row r="137" spans="1:7" x14ac:dyDescent="0.25">
      <c r="A137" s="3" t="s">
        <v>158</v>
      </c>
      <c r="B137" s="3"/>
      <c r="C137" s="3"/>
      <c r="D137" s="3"/>
      <c r="E137" s="4"/>
      <c r="F137" s="4"/>
      <c r="G137" s="3"/>
    </row>
    <row r="138" spans="1:7" x14ac:dyDescent="0.25">
      <c r="A138" s="3" t="s">
        <v>148</v>
      </c>
      <c r="B138" s="3"/>
      <c r="C138" s="3"/>
      <c r="D138" s="6" t="s">
        <v>2</v>
      </c>
      <c r="E138" s="3"/>
      <c r="F138" s="3"/>
      <c r="G138" s="3"/>
    </row>
    <row r="139" spans="1:7" ht="18.75" x14ac:dyDescent="0.3">
      <c r="A139" s="127" t="s">
        <v>149</v>
      </c>
      <c r="B139" s="127"/>
      <c r="C139" s="127"/>
      <c r="E139" s="66">
        <v>3</v>
      </c>
      <c r="F139" s="62" t="s">
        <v>1</v>
      </c>
      <c r="G139" s="3"/>
    </row>
    <row r="140" spans="1:7" ht="18.75" x14ac:dyDescent="0.3">
      <c r="A140" s="127" t="s">
        <v>150</v>
      </c>
      <c r="B140" s="127"/>
      <c r="C140" s="127"/>
      <c r="E140" s="66">
        <v>4</v>
      </c>
      <c r="F140" s="62" t="s">
        <v>1</v>
      </c>
      <c r="G140" s="3"/>
    </row>
    <row r="141" spans="1:7" ht="18.75" x14ac:dyDescent="0.3">
      <c r="A141" s="9" t="s">
        <v>151</v>
      </c>
      <c r="B141" s="3"/>
      <c r="C141" s="60"/>
      <c r="E141" s="67">
        <v>120</v>
      </c>
      <c r="F141" t="s">
        <v>3</v>
      </c>
      <c r="G141" s="3"/>
    </row>
    <row r="142" spans="1:7" ht="18.75" x14ac:dyDescent="0.3">
      <c r="A142" s="25" t="s">
        <v>153</v>
      </c>
      <c r="B142" s="3"/>
      <c r="E142" s="69">
        <f>E139/(2*SIN(E141/2/180*PI()))</f>
        <v>1.7320508075688774</v>
      </c>
      <c r="F142" s="62" t="s">
        <v>1</v>
      </c>
      <c r="G142" s="3"/>
    </row>
    <row r="143" spans="1:7" ht="19.5" x14ac:dyDescent="0.35">
      <c r="A143" s="25" t="s">
        <v>152</v>
      </c>
      <c r="B143" s="3"/>
      <c r="E143" s="69">
        <f>E142-E142*COS((E141/180*PI()/2))</f>
        <v>0.86602540378443849</v>
      </c>
      <c r="F143" s="62" t="s">
        <v>1</v>
      </c>
      <c r="G143" s="3"/>
    </row>
    <row r="144" spans="1:7" ht="19.5" x14ac:dyDescent="0.35">
      <c r="A144" s="23" t="s">
        <v>154</v>
      </c>
      <c r="B144" s="3"/>
      <c r="E144" s="69">
        <f>E140-E143</f>
        <v>3.1339745962155616</v>
      </c>
      <c r="F144" s="62" t="s">
        <v>1</v>
      </c>
      <c r="G144" s="3"/>
    </row>
    <row r="145" spans="1:7" ht="18.75" x14ac:dyDescent="0.3">
      <c r="A145" s="23" t="s">
        <v>155</v>
      </c>
      <c r="B145" s="3"/>
      <c r="E145" s="70">
        <f>2*PI()*E141*E142/360</f>
        <v>3.6275987284684352</v>
      </c>
      <c r="F145" s="62" t="s">
        <v>1</v>
      </c>
      <c r="G145" s="3"/>
    </row>
    <row r="146" spans="1:7" ht="19.5" x14ac:dyDescent="0.3">
      <c r="A146" s="3" t="s">
        <v>156</v>
      </c>
      <c r="B146" s="3"/>
      <c r="F146" s="69">
        <f>E139*E144+PI()*E142^2*(E141/360)-E139*(E142-E143)/2</f>
        <v>11.244478336559819</v>
      </c>
      <c r="G146" s="62" t="s">
        <v>18</v>
      </c>
    </row>
    <row r="147" spans="1:7" ht="18.75" x14ac:dyDescent="0.3">
      <c r="A147" s="3" t="s">
        <v>157</v>
      </c>
      <c r="B147" s="3"/>
      <c r="C147" s="19">
        <v>0</v>
      </c>
      <c r="D147" s="3" t="s">
        <v>181</v>
      </c>
      <c r="E147" s="4"/>
      <c r="F147" s="4"/>
      <c r="G147" s="3"/>
    </row>
    <row r="148" spans="1:7" x14ac:dyDescent="0.25">
      <c r="F148" s="62"/>
    </row>
    <row r="149" spans="1:7" s="67" customFormat="1" x14ac:dyDescent="0.25">
      <c r="A149" s="59" t="s">
        <v>16</v>
      </c>
      <c r="F149" s="78"/>
    </row>
    <row r="150" spans="1:7" x14ac:dyDescent="0.25">
      <c r="A150" s="7" t="s">
        <v>87</v>
      </c>
      <c r="B150" s="3"/>
      <c r="C150" s="3"/>
      <c r="D150" s="3"/>
      <c r="E150" s="3"/>
      <c r="F150" s="3"/>
      <c r="G150" s="3"/>
    </row>
    <row r="151" spans="1:7" ht="18.75" x14ac:dyDescent="0.35">
      <c r="A151" s="3" t="s">
        <v>377</v>
      </c>
      <c r="B151" s="3"/>
      <c r="C151" s="60" t="str">
        <f>IF(C27=1,"1.1",IF(C27&gt;3,"1.0","1.05"))</f>
        <v>1.1</v>
      </c>
      <c r="D151" s="3"/>
      <c r="E151" s="3"/>
      <c r="F151" s="3"/>
      <c r="G151" s="3"/>
    </row>
    <row r="152" spans="1:7" x14ac:dyDescent="0.25">
      <c r="A152" s="3" t="s">
        <v>378</v>
      </c>
      <c r="B152" s="3"/>
      <c r="C152">
        <v>1</v>
      </c>
      <c r="D152" s="3" t="s">
        <v>165</v>
      </c>
      <c r="E152">
        <v>0.85</v>
      </c>
      <c r="F152" s="3" t="s">
        <v>166</v>
      </c>
      <c r="G152" s="3"/>
    </row>
    <row r="153" spans="1:7" x14ac:dyDescent="0.25">
      <c r="A153" s="3" t="s">
        <v>379</v>
      </c>
      <c r="B153" s="3"/>
      <c r="C153" s="60"/>
      <c r="D153" s="3"/>
      <c r="E153" s="3"/>
      <c r="F153" s="3"/>
      <c r="G153" s="3"/>
    </row>
    <row r="154" spans="1:7" x14ac:dyDescent="0.25">
      <c r="A154" s="7" t="s">
        <v>161</v>
      </c>
      <c r="B154" s="3"/>
      <c r="C154" s="3"/>
      <c r="D154" s="3"/>
      <c r="E154" s="3"/>
      <c r="F154" s="3"/>
      <c r="G154" s="3"/>
    </row>
    <row r="155" spans="1:7" x14ac:dyDescent="0.25">
      <c r="A155" s="3" t="s">
        <v>380</v>
      </c>
      <c r="B155" s="3"/>
      <c r="C155" s="3"/>
      <c r="D155" s="3"/>
      <c r="E155" s="3"/>
      <c r="F155" s="3"/>
      <c r="G155" s="3"/>
    </row>
    <row r="156" spans="1:7" ht="18.75" x14ac:dyDescent="0.35">
      <c r="A156" s="21" t="s">
        <v>162</v>
      </c>
      <c r="B156" s="3"/>
      <c r="C156" s="3"/>
      <c r="D156" s="21">
        <v>1</v>
      </c>
      <c r="F156" s="3"/>
      <c r="G156" s="3"/>
    </row>
    <row r="157" spans="1:7" ht="18.75" x14ac:dyDescent="0.35">
      <c r="A157" t="s">
        <v>381</v>
      </c>
      <c r="B157" s="3"/>
      <c r="C157" s="3"/>
      <c r="D157" s="21">
        <f>IF(D48="是",1.1,1)</f>
        <v>1</v>
      </c>
      <c r="E157" s="30"/>
      <c r="F157" s="3"/>
      <c r="G157" s="3"/>
    </row>
    <row r="158" spans="1:7" ht="18.75" x14ac:dyDescent="0.35">
      <c r="A158" s="3" t="s">
        <v>382</v>
      </c>
      <c r="D158">
        <v>1.5</v>
      </c>
      <c r="G158" s="3"/>
    </row>
    <row r="159" spans="1:7" ht="18.75" x14ac:dyDescent="0.3">
      <c r="A159" s="23" t="s">
        <v>297</v>
      </c>
      <c r="B159" s="3"/>
      <c r="C159" s="3"/>
      <c r="D159" s="3"/>
      <c r="E159" s="3"/>
      <c r="G159" s="62">
        <v>1.7</v>
      </c>
    </row>
    <row r="160" spans="1:7" ht="18.75" x14ac:dyDescent="0.3">
      <c r="A160" s="23" t="s">
        <v>298</v>
      </c>
      <c r="B160" s="3"/>
      <c r="C160" s="3"/>
      <c r="D160" s="3"/>
      <c r="E160" s="3"/>
      <c r="G160" s="62">
        <v>2</v>
      </c>
    </row>
    <row r="161" spans="1:7" x14ac:dyDescent="0.25">
      <c r="A161" s="7" t="s">
        <v>163</v>
      </c>
    </row>
    <row r="162" spans="1:7" x14ac:dyDescent="0.25">
      <c r="A162" s="3" t="s">
        <v>383</v>
      </c>
    </row>
    <row r="163" spans="1:7" ht="18.75" x14ac:dyDescent="0.35">
      <c r="A163" s="21" t="s">
        <v>164</v>
      </c>
      <c r="B163" s="3"/>
      <c r="C163" s="3"/>
      <c r="D163" s="3">
        <v>1</v>
      </c>
      <c r="E163" s="3"/>
      <c r="F163" s="3"/>
      <c r="G163" s="3"/>
    </row>
    <row r="164" spans="1:7" ht="18.75" x14ac:dyDescent="0.35">
      <c r="A164" t="s">
        <v>384</v>
      </c>
      <c r="B164" s="3"/>
      <c r="C164" s="3"/>
      <c r="D164" s="3">
        <v>1</v>
      </c>
      <c r="E164" s="3"/>
      <c r="F164" s="3"/>
      <c r="G164" s="3"/>
    </row>
    <row r="165" spans="1:7" ht="18.75" x14ac:dyDescent="0.35">
      <c r="A165" t="s">
        <v>385</v>
      </c>
      <c r="B165" s="3"/>
      <c r="C165" s="3"/>
      <c r="D165">
        <v>1</v>
      </c>
    </row>
    <row r="166" spans="1:7" ht="18.75" x14ac:dyDescent="0.35">
      <c r="A166" s="3" t="s">
        <v>386</v>
      </c>
      <c r="B166" s="3"/>
      <c r="C166" s="3"/>
      <c r="D166">
        <v>2.7</v>
      </c>
      <c r="E166" s="3"/>
      <c r="F166" s="3"/>
      <c r="G166" s="3"/>
    </row>
    <row r="167" spans="1:7" ht="18.75" x14ac:dyDescent="0.3">
      <c r="A167" s="23" t="s">
        <v>299</v>
      </c>
      <c r="B167" s="3"/>
      <c r="C167" s="3"/>
      <c r="E167" s="3"/>
      <c r="F167" s="3"/>
      <c r="G167" s="9">
        <v>1</v>
      </c>
    </row>
    <row r="168" spans="1:7" ht="18.75" x14ac:dyDescent="0.3">
      <c r="A168" s="23" t="s">
        <v>300</v>
      </c>
      <c r="B168" s="3"/>
      <c r="C168" s="3"/>
      <c r="E168" s="3"/>
      <c r="F168" s="3"/>
      <c r="G168" s="41">
        <v>1</v>
      </c>
    </row>
    <row r="169" spans="1:7" x14ac:dyDescent="0.25">
      <c r="A169" s="21"/>
      <c r="B169" s="3"/>
      <c r="C169" s="3"/>
      <c r="D169" s="21"/>
      <c r="E169" s="3"/>
      <c r="F169" s="3"/>
      <c r="G169" s="3"/>
    </row>
    <row r="170" spans="1:7" x14ac:dyDescent="0.25">
      <c r="A170" s="7" t="s">
        <v>88</v>
      </c>
    </row>
    <row r="171" spans="1:7" x14ac:dyDescent="0.25">
      <c r="A171" s="7" t="s">
        <v>89</v>
      </c>
    </row>
    <row r="172" spans="1:7" x14ac:dyDescent="0.25">
      <c r="A172" s="3" t="s">
        <v>387</v>
      </c>
      <c r="D172" s="70">
        <f>(D55*D83+D61*D85+D60*2*D84)</f>
        <v>13.350271782721022</v>
      </c>
      <c r="E172" s="62" t="s">
        <v>1</v>
      </c>
      <c r="F172" s="15" t="s">
        <v>61</v>
      </c>
      <c r="G172" s="67"/>
    </row>
    <row r="173" spans="1:7" ht="20.25" x14ac:dyDescent="0.35">
      <c r="A173" s="3" t="s">
        <v>388</v>
      </c>
      <c r="B173" s="3"/>
      <c r="C173" s="3"/>
      <c r="D173" s="70">
        <f>D172*D135</f>
        <v>427.20869704707269</v>
      </c>
      <c r="E173" s="62" t="s">
        <v>18</v>
      </c>
    </row>
    <row r="174" spans="1:7" ht="18.75" x14ac:dyDescent="0.3">
      <c r="A174" s="3" t="s">
        <v>389</v>
      </c>
      <c r="D174" s="70">
        <f>(E62*D135-F146*C147)*C31</f>
        <v>19845.536558983709</v>
      </c>
      <c r="E174" s="62" t="s">
        <v>13</v>
      </c>
      <c r="F174" s="3"/>
      <c r="G174" s="3"/>
    </row>
    <row r="175" spans="1:7" ht="18.75" x14ac:dyDescent="0.3">
      <c r="A175" s="23" t="s">
        <v>301</v>
      </c>
      <c r="B175" s="3"/>
      <c r="C175" s="3"/>
      <c r="F175" s="70">
        <f>E34/G159</f>
        <v>0.3235294117647059</v>
      </c>
      <c r="G175" s="62"/>
    </row>
    <row r="176" spans="1:7" ht="18.75" x14ac:dyDescent="0.3">
      <c r="A176" s="23" t="s">
        <v>302</v>
      </c>
      <c r="B176" s="3"/>
      <c r="C176" s="3"/>
      <c r="F176" s="70">
        <f>E35/G160</f>
        <v>0.15</v>
      </c>
      <c r="G176" s="62" t="s">
        <v>0</v>
      </c>
    </row>
    <row r="177" spans="1:7" x14ac:dyDescent="0.25">
      <c r="A177" s="3" t="s">
        <v>145</v>
      </c>
      <c r="B177" s="3"/>
      <c r="D177" s="65">
        <f>-4.671</f>
        <v>-4.6710000000000003</v>
      </c>
      <c r="E177" s="62" t="s">
        <v>59</v>
      </c>
    </row>
    <row r="178" spans="1:7" x14ac:dyDescent="0.25">
      <c r="B178" s="3" t="s">
        <v>390</v>
      </c>
      <c r="C178" s="70">
        <f>COS(D177/180*PI())</f>
        <v>0.99667873196139933</v>
      </c>
      <c r="D178" s="79"/>
      <c r="E178" s="8"/>
    </row>
    <row r="179" spans="1:7" x14ac:dyDescent="0.25">
      <c r="B179" s="3" t="s">
        <v>391</v>
      </c>
      <c r="C179" s="70">
        <f>SIN(D177*PI()/180)</f>
        <v>-8.1434054644337797E-2</v>
      </c>
      <c r="D179" s="79"/>
      <c r="E179" s="8"/>
    </row>
    <row r="180" spans="1:7" ht="18.75" x14ac:dyDescent="0.35">
      <c r="A180" s="21" t="s">
        <v>62</v>
      </c>
      <c r="D180" s="3"/>
      <c r="E180" s="70">
        <f>C178*E111*D157+C179*D174*D156</f>
        <v>42809.047406019119</v>
      </c>
      <c r="F180" s="62" t="s">
        <v>5</v>
      </c>
    </row>
    <row r="181" spans="1:7" ht="18.75" x14ac:dyDescent="0.35">
      <c r="A181" s="24" t="s">
        <v>63</v>
      </c>
      <c r="D181" s="3"/>
      <c r="E181" s="70">
        <f>C178*D174*D156-C179*E111*D157</f>
        <v>23409.399755929709</v>
      </c>
      <c r="F181" s="62" t="s">
        <v>5</v>
      </c>
    </row>
    <row r="182" spans="1:7" ht="18.75" x14ac:dyDescent="0.35">
      <c r="A182" s="23" t="s">
        <v>60</v>
      </c>
      <c r="B182" s="3"/>
      <c r="C182" s="3"/>
      <c r="D182" s="3"/>
      <c r="E182" s="70">
        <f>F175*E181+F176*1000*D173</f>
        <v>71654.933889861684</v>
      </c>
      <c r="F182" s="62" t="s">
        <v>5</v>
      </c>
    </row>
    <row r="183" spans="1:7" ht="18.75" x14ac:dyDescent="0.35">
      <c r="B183" t="s">
        <v>392</v>
      </c>
      <c r="C183" s="80">
        <f>C151*C152*E180</f>
        <v>47089.952146621035</v>
      </c>
      <c r="D183" s="4" t="str">
        <f>IF(C183&lt;F183,"&lt;","&gt;")</f>
        <v>&lt;</v>
      </c>
      <c r="E183" t="s">
        <v>393</v>
      </c>
      <c r="F183" s="80">
        <f>E182/D158</f>
        <v>47769.955926574454</v>
      </c>
    </row>
    <row r="184" spans="1:7" x14ac:dyDescent="0.25">
      <c r="A184" s="5" t="s">
        <v>107</v>
      </c>
      <c r="B184" s="3" t="str">
        <f>IF(C183&lt;F183,"该工况下堵头设计长度能满足规范要求。","该工况下堵头设计长度不能满足规范要求。")</f>
        <v>该工况下堵头设计长度能满足规范要求。</v>
      </c>
    </row>
    <row r="185" spans="1:7" x14ac:dyDescent="0.25">
      <c r="A185" s="3"/>
    </row>
    <row r="186" spans="1:7" x14ac:dyDescent="0.25">
      <c r="A186" s="7" t="s">
        <v>90</v>
      </c>
    </row>
    <row r="187" spans="1:7" x14ac:dyDescent="0.25">
      <c r="A187" s="3" t="s">
        <v>394</v>
      </c>
      <c r="D187" s="70">
        <f>D174</f>
        <v>19845.536558983709</v>
      </c>
      <c r="E187" s="62" t="s">
        <v>13</v>
      </c>
    </row>
    <row r="188" spans="1:7" ht="18.75" x14ac:dyDescent="0.3">
      <c r="A188" s="23" t="s">
        <v>301</v>
      </c>
      <c r="B188" s="3"/>
      <c r="C188" s="3"/>
      <c r="F188" s="70">
        <f>E34/G159</f>
        <v>0.3235294117647059</v>
      </c>
      <c r="G188" s="62"/>
    </row>
    <row r="189" spans="1:7" ht="18.75" x14ac:dyDescent="0.3">
      <c r="A189" s="23" t="s">
        <v>302</v>
      </c>
      <c r="B189" s="3"/>
      <c r="C189" s="3"/>
      <c r="F189" s="70">
        <f>E35/G160</f>
        <v>0.15</v>
      </c>
      <c r="G189" s="62" t="s">
        <v>0</v>
      </c>
    </row>
    <row r="190" spans="1:7" ht="18.75" x14ac:dyDescent="0.35">
      <c r="A190" s="21" t="s">
        <v>64</v>
      </c>
      <c r="D190" s="3"/>
      <c r="E190" s="70">
        <f>C178*E112*D157+C179*D187*D156</f>
        <v>44212.358762774005</v>
      </c>
      <c r="F190" s="62" t="s">
        <v>5</v>
      </c>
    </row>
    <row r="191" spans="1:7" ht="18.75" x14ac:dyDescent="0.35">
      <c r="A191" s="24" t="s">
        <v>65</v>
      </c>
      <c r="D191" s="3"/>
      <c r="E191" s="70">
        <f>C178*D174*D156-C179*E112*D157</f>
        <v>23524.057900068197</v>
      </c>
      <c r="F191" s="62" t="s">
        <v>13</v>
      </c>
    </row>
    <row r="192" spans="1:7" ht="18.75" x14ac:dyDescent="0.35">
      <c r="A192" s="23" t="s">
        <v>60</v>
      </c>
      <c r="B192" s="3"/>
      <c r="C192" s="3"/>
      <c r="D192" s="3"/>
      <c r="E192" s="70">
        <f>F188*E191+F189*1000*D173</f>
        <v>71692.029171788847</v>
      </c>
      <c r="F192" s="62" t="s">
        <v>5</v>
      </c>
    </row>
    <row r="193" spans="1:8" ht="18.75" x14ac:dyDescent="0.35">
      <c r="B193" t="s">
        <v>392</v>
      </c>
      <c r="C193" s="80">
        <f>C151*E152*E190</f>
        <v>41338.555443193698</v>
      </c>
      <c r="D193" s="4" t="str">
        <f>IF(C193&lt;F193,"&lt;","&gt;")</f>
        <v>&lt;</v>
      </c>
      <c r="E193" t="s">
        <v>393</v>
      </c>
      <c r="F193" s="80">
        <f>E192/D158</f>
        <v>47794.686114525895</v>
      </c>
    </row>
    <row r="194" spans="1:8" x14ac:dyDescent="0.25">
      <c r="A194" s="5" t="s">
        <v>107</v>
      </c>
      <c r="B194" s="3" t="str">
        <f>IF(C193&lt;F193,"该工况下堵头设计长度能满足规范要求。","该工况下堵头设计长度不能满足规范要求。")</f>
        <v>该工况下堵头设计长度能满足规范要求。</v>
      </c>
    </row>
    <row r="195" spans="1:8" x14ac:dyDescent="0.25">
      <c r="A195" s="3"/>
    </row>
    <row r="196" spans="1:8" x14ac:dyDescent="0.25">
      <c r="A196" s="7" t="s">
        <v>91</v>
      </c>
    </row>
    <row r="197" spans="1:8" x14ac:dyDescent="0.25">
      <c r="A197" s="3" t="s">
        <v>395</v>
      </c>
      <c r="C197" s="70">
        <f>D174</f>
        <v>19845.536558983709</v>
      </c>
      <c r="D197" s="62" t="s">
        <v>13</v>
      </c>
    </row>
    <row r="198" spans="1:8" x14ac:dyDescent="0.25">
      <c r="A198" s="3"/>
      <c r="D198" s="70"/>
      <c r="E198" s="62"/>
    </row>
    <row r="199" spans="1:8" x14ac:dyDescent="0.25">
      <c r="A199" s="3" t="s">
        <v>396</v>
      </c>
      <c r="D199" s="70"/>
      <c r="E199" s="62"/>
    </row>
    <row r="200" spans="1:8" x14ac:dyDescent="0.25">
      <c r="A200" s="10" t="s">
        <v>167</v>
      </c>
      <c r="B200" s="3"/>
      <c r="C200" s="3"/>
      <c r="E200" s="17"/>
      <c r="F200" s="4"/>
    </row>
    <row r="201" spans="1:8" x14ac:dyDescent="0.25">
      <c r="A201" s="10" t="s">
        <v>335</v>
      </c>
      <c r="B201" s="3"/>
      <c r="C201" s="3"/>
      <c r="E201" s="17"/>
      <c r="F201" s="4"/>
      <c r="H201" s="56" t="s">
        <v>423</v>
      </c>
    </row>
    <row r="202" spans="1:8" x14ac:dyDescent="0.25">
      <c r="A202" s="10" t="s">
        <v>336</v>
      </c>
      <c r="B202" s="3"/>
      <c r="C202" s="3"/>
      <c r="E202" s="17"/>
      <c r="F202" s="4"/>
      <c r="H202" t="s">
        <v>397</v>
      </c>
    </row>
    <row r="203" spans="1:8" x14ac:dyDescent="0.25">
      <c r="A203" s="10" t="s">
        <v>337</v>
      </c>
      <c r="B203" s="3"/>
      <c r="C203" s="3"/>
      <c r="E203" s="17"/>
      <c r="F203" s="4"/>
      <c r="H203" s="56" t="s">
        <v>339</v>
      </c>
    </row>
    <row r="204" spans="1:8" ht="18.75" x14ac:dyDescent="0.3">
      <c r="A204" s="10" t="s">
        <v>204</v>
      </c>
      <c r="B204" s="3"/>
      <c r="C204" s="3"/>
      <c r="E204" s="17"/>
      <c r="F204" s="81">
        <f>0.08*2</f>
        <v>0.16</v>
      </c>
      <c r="G204" s="3" t="s">
        <v>179</v>
      </c>
      <c r="H204" s="10" t="s">
        <v>340</v>
      </c>
    </row>
    <row r="205" spans="1:8" x14ac:dyDescent="0.25">
      <c r="A205" s="23" t="s">
        <v>207</v>
      </c>
      <c r="B205" s="3"/>
      <c r="C205" s="3"/>
      <c r="E205" s="17"/>
      <c r="F205" s="4"/>
      <c r="H205" s="10" t="s">
        <v>338</v>
      </c>
    </row>
    <row r="206" spans="1:8" x14ac:dyDescent="0.25">
      <c r="A206" s="23" t="s">
        <v>208</v>
      </c>
      <c r="B206" s="3"/>
      <c r="C206" s="3"/>
      <c r="E206" s="17"/>
      <c r="F206" s="4"/>
    </row>
    <row r="207" spans="1:8" ht="16.5" thickBot="1" x14ac:dyDescent="0.3">
      <c r="A207" s="10"/>
      <c r="C207" s="70" t="s">
        <v>424</v>
      </c>
      <c r="E207" s="17"/>
      <c r="F207" s="4"/>
    </row>
    <row r="208" spans="1:8" ht="16.5" thickTop="1" x14ac:dyDescent="0.25">
      <c r="A208" s="10"/>
      <c r="B208" s="126" t="s">
        <v>128</v>
      </c>
      <c r="C208" s="119"/>
      <c r="D208" s="119" t="s">
        <v>133</v>
      </c>
      <c r="E208" s="120"/>
      <c r="F208" s="34" t="s">
        <v>134</v>
      </c>
    </row>
    <row r="209" spans="1:7" x14ac:dyDescent="0.25">
      <c r="A209" s="10"/>
      <c r="B209" s="131" t="s">
        <v>129</v>
      </c>
      <c r="C209" s="132"/>
      <c r="D209" s="136" t="s">
        <v>168</v>
      </c>
      <c r="E209" s="136"/>
      <c r="F209" s="137" t="s">
        <v>135</v>
      </c>
    </row>
    <row r="210" spans="1:7" x14ac:dyDescent="0.25">
      <c r="A210" s="10"/>
      <c r="B210" s="131" t="s">
        <v>130</v>
      </c>
      <c r="C210" s="132"/>
      <c r="D210" s="136" t="s">
        <v>137</v>
      </c>
      <c r="E210" s="136"/>
      <c r="F210" s="137"/>
    </row>
    <row r="211" spans="1:7" x14ac:dyDescent="0.25">
      <c r="A211" s="10"/>
      <c r="B211" s="131" t="s">
        <v>131</v>
      </c>
      <c r="C211" s="132"/>
      <c r="D211" s="136" t="s">
        <v>138</v>
      </c>
      <c r="E211" s="136"/>
      <c r="F211" s="137" t="s">
        <v>136</v>
      </c>
    </row>
    <row r="212" spans="1:7" ht="16.5" thickBot="1" x14ac:dyDescent="0.3">
      <c r="A212" s="10"/>
      <c r="B212" s="139" t="s">
        <v>132</v>
      </c>
      <c r="C212" s="140"/>
      <c r="D212" s="141" t="s">
        <v>139</v>
      </c>
      <c r="E212" s="141"/>
      <c r="F212" s="138"/>
    </row>
    <row r="213" spans="1:7" ht="16.5" thickTop="1" x14ac:dyDescent="0.25">
      <c r="A213" s="10"/>
      <c r="B213" s="3"/>
      <c r="C213" s="3"/>
      <c r="E213" s="17"/>
      <c r="F213" s="4"/>
    </row>
    <row r="214" spans="1:7" x14ac:dyDescent="0.25">
      <c r="A214" s="10"/>
      <c r="B214" s="3"/>
      <c r="C214" s="3"/>
      <c r="E214" s="17"/>
      <c r="F214" s="4"/>
    </row>
    <row r="215" spans="1:7" ht="16.5" thickBot="1" x14ac:dyDescent="0.3">
      <c r="A215" s="10"/>
      <c r="B215" s="3"/>
      <c r="C215" s="70" t="s">
        <v>425</v>
      </c>
      <c r="E215" s="17"/>
      <c r="F215" s="4"/>
    </row>
    <row r="216" spans="1:7" ht="16.5" thickTop="1" x14ac:dyDescent="0.25">
      <c r="A216" s="10"/>
      <c r="B216" s="126" t="s">
        <v>128</v>
      </c>
      <c r="C216" s="119"/>
      <c r="D216" s="133" t="s">
        <v>172</v>
      </c>
      <c r="E216" s="134"/>
      <c r="F216" s="134"/>
      <c r="G216" s="135"/>
    </row>
    <row r="217" spans="1:7" ht="16.5" x14ac:dyDescent="0.25">
      <c r="A217" s="10"/>
      <c r="B217" s="131" t="s">
        <v>169</v>
      </c>
      <c r="C217" s="132"/>
      <c r="D217" s="132" t="s">
        <v>173</v>
      </c>
      <c r="E217" s="132"/>
      <c r="F217" s="132"/>
      <c r="G217" s="137"/>
    </row>
    <row r="218" spans="1:7" ht="16.5" x14ac:dyDescent="0.25">
      <c r="A218" s="10"/>
      <c r="B218" s="131" t="s">
        <v>170</v>
      </c>
      <c r="C218" s="132"/>
      <c r="D218" s="132" t="s">
        <v>174</v>
      </c>
      <c r="E218" s="132"/>
      <c r="F218" s="132"/>
      <c r="G218" s="137"/>
    </row>
    <row r="219" spans="1:7" ht="17.25" thickBot="1" x14ac:dyDescent="0.3">
      <c r="A219" s="10"/>
      <c r="B219" s="139" t="s">
        <v>171</v>
      </c>
      <c r="C219" s="140"/>
      <c r="D219" s="140" t="s">
        <v>175</v>
      </c>
      <c r="E219" s="140"/>
      <c r="F219" s="140"/>
      <c r="G219" s="138"/>
    </row>
    <row r="220" spans="1:7" ht="16.5" thickTop="1" x14ac:dyDescent="0.25">
      <c r="A220" s="10"/>
      <c r="B220" s="3"/>
      <c r="C220" s="3"/>
      <c r="E220" s="17"/>
      <c r="F220" s="4"/>
    </row>
    <row r="221" spans="1:7" x14ac:dyDescent="0.25">
      <c r="A221" t="s">
        <v>398</v>
      </c>
      <c r="B221" s="3"/>
      <c r="C221" s="3"/>
      <c r="E221" s="17"/>
      <c r="F221" s="4"/>
    </row>
    <row r="222" spans="1:7" ht="18.75" x14ac:dyDescent="0.35">
      <c r="A222" t="s">
        <v>399</v>
      </c>
      <c r="B222" s="3"/>
      <c r="C222" s="3"/>
      <c r="E222" s="17"/>
      <c r="F222" s="18"/>
    </row>
    <row r="223" spans="1:7" ht="18.75" x14ac:dyDescent="0.3">
      <c r="A223" s="5" t="s">
        <v>4</v>
      </c>
      <c r="B223" s="3" t="s">
        <v>110</v>
      </c>
      <c r="C223" s="3"/>
      <c r="D223" s="3"/>
      <c r="E223" s="3"/>
      <c r="F223" s="3"/>
    </row>
    <row r="224" spans="1:7" ht="18.75" x14ac:dyDescent="0.3">
      <c r="A224" s="3"/>
      <c r="B224" s="3" t="s">
        <v>69</v>
      </c>
      <c r="C224" s="3"/>
      <c r="D224" s="3"/>
      <c r="E224" s="3">
        <f>IF(D30&gt;=50,0.5*F204,F204*(1-D30/100))</f>
        <v>0.08</v>
      </c>
      <c r="F224" s="3" t="s">
        <v>348</v>
      </c>
      <c r="G224" s="3"/>
    </row>
    <row r="225" spans="1:7" x14ac:dyDescent="0.25">
      <c r="A225" s="3" t="s">
        <v>140</v>
      </c>
      <c r="B225" s="3"/>
      <c r="C225" s="3"/>
      <c r="D225" s="3"/>
      <c r="E225" s="3"/>
      <c r="F225" s="3"/>
      <c r="G225" s="3"/>
    </row>
    <row r="226" spans="1:7" x14ac:dyDescent="0.25">
      <c r="A226" s="3"/>
      <c r="B226" s="3" t="s">
        <v>70</v>
      </c>
      <c r="C226" s="3"/>
      <c r="D226" s="3"/>
      <c r="E226">
        <v>0.25</v>
      </c>
      <c r="F226" s="3" t="s">
        <v>28</v>
      </c>
      <c r="G226" s="3"/>
    </row>
    <row r="227" spans="1:7" ht="18.75" x14ac:dyDescent="0.3">
      <c r="A227" s="3"/>
      <c r="B227" s="3" t="s">
        <v>114</v>
      </c>
      <c r="C227" s="3"/>
      <c r="D227" s="3"/>
      <c r="F227" s="3"/>
      <c r="G227" s="3"/>
    </row>
    <row r="228" spans="1:7" ht="18.75" x14ac:dyDescent="0.3">
      <c r="A228" s="3"/>
      <c r="B228" s="3" t="s">
        <v>209</v>
      </c>
      <c r="C228" s="3"/>
      <c r="F228" s="3">
        <v>1</v>
      </c>
      <c r="G228" s="3" t="s">
        <v>28</v>
      </c>
    </row>
    <row r="229" spans="1:7" ht="18" x14ac:dyDescent="0.25">
      <c r="A229" s="3"/>
      <c r="B229" s="3" t="s">
        <v>71</v>
      </c>
      <c r="D229" s="3">
        <v>9.81</v>
      </c>
      <c r="E229" s="3" t="s">
        <v>48</v>
      </c>
      <c r="F229" s="3"/>
    </row>
    <row r="230" spans="1:7" ht="18.75" x14ac:dyDescent="0.3">
      <c r="A230" t="s">
        <v>400</v>
      </c>
      <c r="D230" s="70">
        <f>C197</f>
        <v>19845.536558983709</v>
      </c>
      <c r="E230" t="s">
        <v>13</v>
      </c>
    </row>
    <row r="231" spans="1:7" ht="19.5" x14ac:dyDescent="0.35">
      <c r="A231" t="s">
        <v>401</v>
      </c>
      <c r="E231" s="70">
        <f>E224*D229*E226*D230*F228/D229</f>
        <v>396.9107311796742</v>
      </c>
      <c r="F231" t="s">
        <v>13</v>
      </c>
    </row>
    <row r="232" spans="1:7" x14ac:dyDescent="0.25">
      <c r="E232" s="70"/>
    </row>
    <row r="233" spans="1:7" x14ac:dyDescent="0.25">
      <c r="A233" s="3" t="s">
        <v>115</v>
      </c>
      <c r="C233" s="3"/>
    </row>
    <row r="234" spans="1:7" ht="18.75" x14ac:dyDescent="0.35">
      <c r="A234" t="s">
        <v>402</v>
      </c>
      <c r="C234" s="3"/>
    </row>
    <row r="235" spans="1:7" x14ac:dyDescent="0.25">
      <c r="A235" s="9" t="s">
        <v>67</v>
      </c>
      <c r="B235" s="70"/>
      <c r="C235" s="3"/>
      <c r="D235" s="3"/>
      <c r="E235" s="3"/>
      <c r="F235" s="3"/>
    </row>
    <row r="236" spans="1:7" ht="18.75" x14ac:dyDescent="0.3">
      <c r="A236" s="3"/>
      <c r="B236" s="70" t="s">
        <v>120</v>
      </c>
      <c r="C236" s="3"/>
      <c r="D236" s="3"/>
      <c r="E236" s="3"/>
      <c r="F236" s="3">
        <f>E224</f>
        <v>0.08</v>
      </c>
      <c r="G236" t="s">
        <v>121</v>
      </c>
    </row>
    <row r="237" spans="1:7" x14ac:dyDescent="0.25">
      <c r="A237" s="3"/>
      <c r="B237" s="70" t="s">
        <v>68</v>
      </c>
      <c r="C237" s="3"/>
      <c r="D237" s="3"/>
      <c r="E237" s="4">
        <f>E226</f>
        <v>0.25</v>
      </c>
      <c r="F237" s="3" t="s">
        <v>28</v>
      </c>
    </row>
    <row r="238" spans="1:7" x14ac:dyDescent="0.25">
      <c r="B238" s="70" t="s">
        <v>403</v>
      </c>
      <c r="C238" s="3"/>
    </row>
    <row r="239" spans="1:7" ht="16.5" thickBot="1" x14ac:dyDescent="0.3">
      <c r="B239" s="70" t="s">
        <v>426</v>
      </c>
      <c r="C239" s="3"/>
      <c r="D239" s="3"/>
    </row>
    <row r="240" spans="1:7" ht="18.75" x14ac:dyDescent="0.3">
      <c r="B240" s="32" t="s">
        <v>404</v>
      </c>
      <c r="C240" s="82" t="s">
        <v>119</v>
      </c>
      <c r="D240" s="28" t="s">
        <v>404</v>
      </c>
      <c r="E240" s="83" t="s">
        <v>119</v>
      </c>
    </row>
    <row r="241" spans="1:12" x14ac:dyDescent="0.25">
      <c r="B241" s="84">
        <v>0</v>
      </c>
      <c r="C241" s="85">
        <v>0</v>
      </c>
      <c r="D241" s="85">
        <v>0.6</v>
      </c>
      <c r="E241" s="86">
        <v>0.76</v>
      </c>
    </row>
    <row r="242" spans="1:12" x14ac:dyDescent="0.25">
      <c r="B242" s="84">
        <v>0.1</v>
      </c>
      <c r="C242" s="85">
        <v>0.43</v>
      </c>
      <c r="D242" s="85">
        <v>0.7</v>
      </c>
      <c r="E242" s="86">
        <v>0.75</v>
      </c>
    </row>
    <row r="243" spans="1:12" x14ac:dyDescent="0.25">
      <c r="B243" s="84">
        <v>0.2</v>
      </c>
      <c r="C243" s="85">
        <v>0.57999999999999996</v>
      </c>
      <c r="D243" s="85">
        <v>0.8</v>
      </c>
      <c r="E243" s="86">
        <v>0.71</v>
      </c>
    </row>
    <row r="244" spans="1:12" x14ac:dyDescent="0.25">
      <c r="B244" s="84">
        <v>0.3</v>
      </c>
      <c r="C244" s="85">
        <v>0.68</v>
      </c>
      <c r="D244" s="85">
        <v>0.9</v>
      </c>
      <c r="E244" s="86">
        <v>0.68</v>
      </c>
    </row>
    <row r="245" spans="1:12" x14ac:dyDescent="0.25">
      <c r="B245" s="84">
        <v>0.4</v>
      </c>
      <c r="C245" s="85">
        <v>0.74</v>
      </c>
      <c r="D245" s="85">
        <v>1</v>
      </c>
      <c r="E245" s="86">
        <v>0.67</v>
      </c>
    </row>
    <row r="246" spans="1:12" ht="16.5" thickBot="1" x14ac:dyDescent="0.3">
      <c r="B246" s="87">
        <v>0.5</v>
      </c>
      <c r="C246" s="88">
        <v>0.76</v>
      </c>
      <c r="D246" s="88" t="s">
        <v>160</v>
      </c>
      <c r="E246" s="89" t="s">
        <v>160</v>
      </c>
    </row>
    <row r="247" spans="1:12" ht="18.75" x14ac:dyDescent="0.3">
      <c r="A247" s="3"/>
      <c r="B247" s="70" t="s">
        <v>127</v>
      </c>
      <c r="C247" s="3"/>
      <c r="D247" s="3"/>
    </row>
    <row r="248" spans="1:12" ht="18.75" x14ac:dyDescent="0.3">
      <c r="A248" s="3"/>
      <c r="B248" s="70" t="s">
        <v>72</v>
      </c>
      <c r="C248" s="3"/>
      <c r="D248" s="3"/>
    </row>
    <row r="249" spans="1:12" ht="18.75" x14ac:dyDescent="0.35">
      <c r="A249" t="s">
        <v>405</v>
      </c>
      <c r="D249" s="17">
        <f>E90</f>
        <v>103.61439999999999</v>
      </c>
      <c r="E249" t="s">
        <v>11</v>
      </c>
    </row>
    <row r="250" spans="1:12" x14ac:dyDescent="0.25">
      <c r="A250" t="s">
        <v>124</v>
      </c>
      <c r="D250" s="17"/>
    </row>
    <row r="251" spans="1:12" ht="18.75" x14ac:dyDescent="0.35">
      <c r="A251" t="s">
        <v>406</v>
      </c>
      <c r="B251" s="3"/>
      <c r="D251" s="70">
        <f>F103</f>
        <v>98.447593957578945</v>
      </c>
      <c r="E251" s="3" t="s">
        <v>11</v>
      </c>
      <c r="H251" s="90">
        <v>0.9</v>
      </c>
      <c r="I251" s="90">
        <v>0.68</v>
      </c>
      <c r="J251" s="91"/>
      <c r="K251" s="91"/>
      <c r="L251" s="91"/>
    </row>
    <row r="252" spans="1:12" ht="18.75" x14ac:dyDescent="0.3">
      <c r="B252" s="3"/>
      <c r="C252" s="3" t="s">
        <v>25</v>
      </c>
      <c r="D252" s="70">
        <f>D251/D260</f>
        <v>0.95013428594460769</v>
      </c>
      <c r="E252" s="3"/>
      <c r="F252" s="3"/>
      <c r="G252" s="70"/>
      <c r="H252" s="90">
        <v>1</v>
      </c>
      <c r="I252" s="90">
        <v>0.67</v>
      </c>
      <c r="J252" s="91"/>
      <c r="K252" s="91">
        <f>H251-H252</f>
        <v>-9.9999999999999978E-2</v>
      </c>
      <c r="L252" s="91">
        <f>I251-I252</f>
        <v>1.0000000000000009E-2</v>
      </c>
    </row>
    <row r="253" spans="1:12" ht="18.75" x14ac:dyDescent="0.3">
      <c r="B253" s="5" t="s">
        <v>122</v>
      </c>
      <c r="C253" s="70" t="s">
        <v>116</v>
      </c>
      <c r="D253" s="65">
        <f>I253</f>
        <v>0.6749865714055393</v>
      </c>
      <c r="E253" s="3"/>
      <c r="F253" s="3"/>
      <c r="G253" s="70"/>
      <c r="H253" s="92">
        <f>D252</f>
        <v>0.95013428594460769</v>
      </c>
      <c r="I253" s="93">
        <f>I251-L253</f>
        <v>0.6749865714055393</v>
      </c>
      <c r="J253" s="91"/>
      <c r="K253" s="91">
        <f>H251-H253</f>
        <v>-5.0134285944607671E-2</v>
      </c>
      <c r="L253" s="91">
        <f>K253/K252*L252</f>
        <v>5.0134285944607726E-3</v>
      </c>
    </row>
    <row r="254" spans="1:12" ht="19.5" x14ac:dyDescent="0.35">
      <c r="A254" t="s">
        <v>407</v>
      </c>
      <c r="B254" s="3"/>
      <c r="C254" s="3"/>
      <c r="D254" s="18"/>
      <c r="F254" s="94">
        <f>F236*D229*E237*D253*1*D249</f>
        <v>13.721900072152302</v>
      </c>
      <c r="G254" s="27" t="s">
        <v>123</v>
      </c>
    </row>
    <row r="255" spans="1:12" ht="19.5" x14ac:dyDescent="0.35">
      <c r="A255" t="s">
        <v>408</v>
      </c>
      <c r="E255" s="70">
        <f>F254*E101</f>
        <v>144.71808359107192</v>
      </c>
      <c r="F255" s="27" t="s">
        <v>13</v>
      </c>
      <c r="H255" s="90">
        <v>0.9</v>
      </c>
      <c r="I255" s="90">
        <v>0.68</v>
      </c>
      <c r="J255" s="91"/>
      <c r="K255" s="91"/>
      <c r="L255" s="91"/>
    </row>
    <row r="256" spans="1:12" x14ac:dyDescent="0.25">
      <c r="A256" t="s">
        <v>125</v>
      </c>
      <c r="E256" s="70"/>
      <c r="F256" s="27"/>
      <c r="H256" s="90">
        <v>1</v>
      </c>
      <c r="I256" s="90">
        <v>0.67</v>
      </c>
      <c r="J256" s="91"/>
      <c r="K256" s="91">
        <f>H255-H256</f>
        <v>-9.9999999999999978E-2</v>
      </c>
      <c r="L256" s="91">
        <f>I255-I256</f>
        <v>1.0000000000000009E-2</v>
      </c>
    </row>
    <row r="257" spans="1:12" ht="18.75" x14ac:dyDescent="0.35">
      <c r="A257" t="s">
        <v>409</v>
      </c>
      <c r="B257" s="3"/>
      <c r="C257" s="3"/>
      <c r="D257" s="70">
        <f>E91</f>
        <v>99.114190936368431</v>
      </c>
      <c r="E257" s="3" t="s">
        <v>11</v>
      </c>
      <c r="H257" s="92">
        <f>D258</f>
        <v>0.95656772549344915</v>
      </c>
      <c r="I257" s="93">
        <f>I255-L257</f>
        <v>0.67434322745065511</v>
      </c>
      <c r="J257" s="91"/>
      <c r="K257" s="91">
        <f>H255-H257</f>
        <v>-5.6567725493449128E-2</v>
      </c>
      <c r="L257" s="91">
        <f>K257/K256*L256</f>
        <v>5.6567725493449185E-3</v>
      </c>
    </row>
    <row r="258" spans="1:12" ht="18.75" x14ac:dyDescent="0.3">
      <c r="B258" s="3"/>
      <c r="C258" s="3" t="s">
        <v>26</v>
      </c>
      <c r="D258" s="70">
        <f>D257/D260</f>
        <v>0.95656772549344915</v>
      </c>
      <c r="E258" s="3"/>
      <c r="F258" s="3"/>
      <c r="G258" s="70"/>
    </row>
    <row r="259" spans="1:12" ht="18.75" x14ac:dyDescent="0.3">
      <c r="B259" s="5" t="s">
        <v>122</v>
      </c>
      <c r="C259" s="70" t="s">
        <v>117</v>
      </c>
      <c r="D259" s="65">
        <f>I257</f>
        <v>0.67434322745065511</v>
      </c>
      <c r="E259" s="3"/>
      <c r="F259" s="3"/>
      <c r="G259" s="70"/>
      <c r="H259" s="90">
        <v>0.9</v>
      </c>
      <c r="I259" s="90">
        <v>0.68</v>
      </c>
      <c r="J259" s="91"/>
      <c r="K259" s="91"/>
      <c r="L259" s="91"/>
    </row>
    <row r="260" spans="1:12" ht="18.75" x14ac:dyDescent="0.35">
      <c r="A260" t="s">
        <v>410</v>
      </c>
      <c r="B260" s="3"/>
      <c r="C260" s="3"/>
      <c r="D260" s="70">
        <f>E90</f>
        <v>103.61439999999999</v>
      </c>
      <c r="E260" s="3" t="s">
        <v>11</v>
      </c>
      <c r="H260" s="90">
        <v>1</v>
      </c>
      <c r="I260" s="90">
        <v>0.67</v>
      </c>
      <c r="J260" s="91"/>
      <c r="K260" s="91">
        <f>H259-H260</f>
        <v>-9.9999999999999978E-2</v>
      </c>
      <c r="L260" s="91">
        <f>I259-I260</f>
        <v>1.0000000000000009E-2</v>
      </c>
    </row>
    <row r="261" spans="1:12" ht="18.75" x14ac:dyDescent="0.3">
      <c r="B261" s="3"/>
      <c r="C261" s="3" t="s">
        <v>27</v>
      </c>
      <c r="D261" s="70">
        <f>D260/D260</f>
        <v>1</v>
      </c>
      <c r="E261" s="3"/>
      <c r="F261" s="3"/>
      <c r="G261" s="70"/>
      <c r="H261" s="92">
        <f>D261</f>
        <v>1</v>
      </c>
      <c r="I261" s="93">
        <f>I259-L261</f>
        <v>0.67</v>
      </c>
      <c r="J261" s="91"/>
      <c r="K261" s="91">
        <f>H259-H261</f>
        <v>-9.9999999999999978E-2</v>
      </c>
      <c r="L261" s="91">
        <f>K261/K260*L260</f>
        <v>1.0000000000000009E-2</v>
      </c>
    </row>
    <row r="262" spans="1:12" ht="18.75" x14ac:dyDescent="0.3">
      <c r="B262" s="5" t="s">
        <v>122</v>
      </c>
      <c r="C262" s="70" t="s">
        <v>118</v>
      </c>
      <c r="D262" s="65">
        <f>I261</f>
        <v>0.67</v>
      </c>
      <c r="E262" s="3"/>
      <c r="F262" s="3"/>
      <c r="G262" s="70"/>
    </row>
    <row r="263" spans="1:12" ht="18.75" x14ac:dyDescent="0.35">
      <c r="A263" t="s">
        <v>411</v>
      </c>
      <c r="E263" s="70">
        <f>(D259+D262)/2</f>
        <v>0.67217161372532752</v>
      </c>
    </row>
    <row r="264" spans="1:12" ht="19.5" x14ac:dyDescent="0.35">
      <c r="A264" t="s">
        <v>412</v>
      </c>
      <c r="F264" s="94">
        <f>F236*D229*E237*E263*1*D249</f>
        <v>13.664674388514225</v>
      </c>
      <c r="G264" s="27" t="s">
        <v>123</v>
      </c>
    </row>
    <row r="265" spans="1:12" ht="19.5" x14ac:dyDescent="0.35">
      <c r="A265" t="s">
        <v>413</v>
      </c>
      <c r="B265" s="3"/>
      <c r="C265" s="3"/>
      <c r="D265" s="18"/>
      <c r="F265" s="70">
        <f>F264*D55*D60</f>
        <v>461.20418651074272</v>
      </c>
      <c r="G265" s="27" t="s">
        <v>13</v>
      </c>
    </row>
    <row r="266" spans="1:12" x14ac:dyDescent="0.25">
      <c r="A266" s="27" t="s">
        <v>126</v>
      </c>
    </row>
    <row r="267" spans="1:12" ht="18.75" x14ac:dyDescent="0.3">
      <c r="B267" s="27" t="s">
        <v>414</v>
      </c>
      <c r="E267" s="70">
        <f>E255+F265</f>
        <v>605.92227010181466</v>
      </c>
      <c r="F267" s="27" t="s">
        <v>13</v>
      </c>
    </row>
    <row r="268" spans="1:12" x14ac:dyDescent="0.25">
      <c r="B268" s="27"/>
      <c r="E268" s="70"/>
      <c r="F268" s="27"/>
    </row>
    <row r="269" spans="1:12" x14ac:dyDescent="0.25">
      <c r="A269" s="3" t="s">
        <v>415</v>
      </c>
      <c r="B269" s="3"/>
      <c r="C269" s="70"/>
      <c r="E269" s="70"/>
      <c r="F269" s="4"/>
    </row>
    <row r="270" spans="1:12" ht="18.75" x14ac:dyDescent="0.35">
      <c r="A270" s="3" t="s">
        <v>416</v>
      </c>
      <c r="D270" s="70">
        <f>E271/90</f>
        <v>1</v>
      </c>
    </row>
    <row r="271" spans="1:12" x14ac:dyDescent="0.25">
      <c r="A271" s="9" t="s">
        <v>182</v>
      </c>
      <c r="C271" s="3"/>
      <c r="E271" s="26">
        <v>90</v>
      </c>
      <c r="F271" s="17" t="s">
        <v>23</v>
      </c>
    </row>
    <row r="272" spans="1:12" x14ac:dyDescent="0.25">
      <c r="A272" s="3"/>
      <c r="D272" s="70"/>
      <c r="E272" s="62"/>
    </row>
    <row r="273" spans="1:7" x14ac:dyDescent="0.25">
      <c r="A273" s="3" t="s">
        <v>417</v>
      </c>
      <c r="D273" s="70"/>
      <c r="E273" s="62"/>
    </row>
    <row r="274" spans="1:7" ht="18.75" x14ac:dyDescent="0.3">
      <c r="A274" s="23" t="s">
        <v>303</v>
      </c>
      <c r="B274" s="3"/>
      <c r="C274" s="3"/>
      <c r="F274" s="70">
        <f>E34/G167</f>
        <v>0.55000000000000004</v>
      </c>
    </row>
    <row r="275" spans="1:7" ht="18.75" x14ac:dyDescent="0.3">
      <c r="A275" s="23" t="s">
        <v>304</v>
      </c>
      <c r="B275" s="3"/>
      <c r="C275" s="3"/>
      <c r="F275" s="70">
        <f>E35/G168</f>
        <v>0.3</v>
      </c>
      <c r="G275" s="62" t="s">
        <v>0</v>
      </c>
    </row>
    <row r="276" spans="1:7" ht="18.75" x14ac:dyDescent="0.35">
      <c r="A276" s="3" t="s">
        <v>418</v>
      </c>
      <c r="D276" s="3"/>
      <c r="E276" s="3"/>
      <c r="F276" s="20">
        <f>C178*(E110*D164+E231*D165+E267*D270*D165)+C179*C197*D163</f>
        <v>42985.620230773835</v>
      </c>
      <c r="G276" s="62" t="s">
        <v>5</v>
      </c>
    </row>
    <row r="277" spans="1:7" ht="18.75" x14ac:dyDescent="0.35">
      <c r="A277" s="3" t="s">
        <v>419</v>
      </c>
      <c r="B277" s="3"/>
      <c r="C277" s="3"/>
      <c r="D277" s="3"/>
      <c r="E277" s="3"/>
      <c r="F277" s="17">
        <f>C178*C197*D163-C179*(E110*D164+E231*D165+E267*D270*D165)</f>
        <v>23423.82671278017</v>
      </c>
      <c r="G277" s="62" t="s">
        <v>5</v>
      </c>
    </row>
    <row r="278" spans="1:7" ht="18.75" x14ac:dyDescent="0.35">
      <c r="A278" s="23" t="s">
        <v>60</v>
      </c>
      <c r="B278" s="3"/>
      <c r="C278" s="3"/>
      <c r="D278" s="3"/>
      <c r="E278" s="3"/>
      <c r="F278" s="70">
        <f>F274*F277+F275*1000*D173</f>
        <v>141045.71380615089</v>
      </c>
      <c r="G278" s="62" t="s">
        <v>5</v>
      </c>
    </row>
    <row r="279" spans="1:7" ht="18.75" x14ac:dyDescent="0.35">
      <c r="B279" t="s">
        <v>392</v>
      </c>
      <c r="C279" s="42">
        <f>C151*E152*F276</f>
        <v>40191.554915773537</v>
      </c>
      <c r="D279" s="4" t="str">
        <f>IF(C279&lt;F279,"&lt;","&gt;")</f>
        <v>&lt;</v>
      </c>
      <c r="E279" t="s">
        <v>420</v>
      </c>
      <c r="F279" s="80">
        <f>F278/D166</f>
        <v>52239.153261537365</v>
      </c>
    </row>
    <row r="280" spans="1:7" x14ac:dyDescent="0.25">
      <c r="A280" s="5" t="s">
        <v>107</v>
      </c>
      <c r="B280" s="3" t="str">
        <f>IF(C279&lt;F279,"该工况下堵头设计长度能满足规范要求。","该工况下堵头设计长度不能满足规范要求。")</f>
        <v>该工况下堵头设计长度能满足规范要求。</v>
      </c>
    </row>
    <row r="281" spans="1:7" x14ac:dyDescent="0.25">
      <c r="A281" s="3"/>
    </row>
    <row r="282" spans="1:7" x14ac:dyDescent="0.25">
      <c r="A282" s="9"/>
      <c r="B282" s="3"/>
      <c r="C282" s="3"/>
      <c r="D282" s="3"/>
      <c r="E282" s="73"/>
      <c r="F282" s="79"/>
    </row>
    <row r="283" spans="1:7" x14ac:dyDescent="0.25">
      <c r="A283" s="9"/>
      <c r="B283" s="3"/>
      <c r="C283" s="3"/>
      <c r="D283" s="3"/>
      <c r="E283" s="73"/>
      <c r="F283" s="79"/>
    </row>
    <row r="284" spans="1:7" x14ac:dyDescent="0.25">
      <c r="A284" s="9"/>
      <c r="B284" s="3"/>
      <c r="C284" s="3"/>
      <c r="D284" s="3"/>
      <c r="E284" s="73"/>
      <c r="F284" s="79"/>
    </row>
    <row r="285" spans="1:7" x14ac:dyDescent="0.25">
      <c r="A285" s="9"/>
      <c r="B285" s="3"/>
      <c r="C285" s="3"/>
      <c r="D285" s="3"/>
      <c r="E285" s="73"/>
      <c r="F285" s="79"/>
    </row>
    <row r="286" spans="1:7" x14ac:dyDescent="0.25">
      <c r="A286" s="9"/>
      <c r="B286" s="3"/>
      <c r="C286" s="3"/>
      <c r="D286" s="3"/>
      <c r="E286" s="73"/>
      <c r="F286" s="79"/>
    </row>
    <row r="287" spans="1:7" x14ac:dyDescent="0.25">
      <c r="A287" s="9"/>
      <c r="B287" s="3"/>
      <c r="C287" s="3"/>
      <c r="D287" s="3"/>
      <c r="E287" s="73"/>
      <c r="F287" s="79"/>
    </row>
    <row r="288" spans="1:7" x14ac:dyDescent="0.25">
      <c r="A288" s="142"/>
      <c r="B288" s="142"/>
      <c r="C288" s="143"/>
      <c r="D288" s="142"/>
      <c r="E288" s="142"/>
      <c r="F288" s="142"/>
    </row>
    <row r="289" spans="1:6" x14ac:dyDescent="0.25">
      <c r="A289" s="142"/>
      <c r="B289" s="142"/>
      <c r="C289" s="143"/>
      <c r="D289" s="142"/>
      <c r="E289" s="142"/>
      <c r="F289" s="142"/>
    </row>
    <row r="290" spans="1:6" x14ac:dyDescent="0.25">
      <c r="A290" s="62"/>
      <c r="B290" s="79"/>
      <c r="C290" s="73"/>
      <c r="D290" s="79"/>
      <c r="E290" s="150"/>
      <c r="F290" s="150"/>
    </row>
    <row r="291" spans="1:6" x14ac:dyDescent="0.25">
      <c r="A291" s="62"/>
      <c r="B291" s="79"/>
      <c r="C291" s="73"/>
      <c r="D291" s="79"/>
      <c r="E291" s="147"/>
      <c r="F291" s="147"/>
    </row>
    <row r="292" spans="1:6" x14ac:dyDescent="0.25">
      <c r="A292" s="9"/>
      <c r="B292" s="79"/>
      <c r="C292" s="73"/>
      <c r="D292" s="79"/>
      <c r="E292" s="147"/>
      <c r="F292" s="147"/>
    </row>
    <row r="293" spans="1:6" x14ac:dyDescent="0.25">
      <c r="A293" s="62"/>
      <c r="B293" s="79"/>
      <c r="C293" s="73"/>
      <c r="D293" s="79"/>
      <c r="E293" s="147"/>
      <c r="F293" s="147"/>
    </row>
    <row r="294" spans="1:6" x14ac:dyDescent="0.25">
      <c r="A294" s="9"/>
      <c r="B294" s="60"/>
      <c r="C294" s="73"/>
      <c r="D294" s="4"/>
      <c r="E294" s="147"/>
      <c r="F294" s="147"/>
    </row>
    <row r="295" spans="1:6" x14ac:dyDescent="0.25">
      <c r="A295" s="62"/>
      <c r="B295" s="60"/>
      <c r="C295" s="73"/>
      <c r="D295" s="79"/>
      <c r="E295" s="147"/>
      <c r="F295" s="147"/>
    </row>
    <row r="296" spans="1:6" x14ac:dyDescent="0.25">
      <c r="A296" s="144"/>
      <c r="B296" s="79"/>
      <c r="C296" s="73"/>
      <c r="D296" s="79"/>
      <c r="E296" s="147"/>
      <c r="F296" s="147"/>
    </row>
    <row r="297" spans="1:6" x14ac:dyDescent="0.25">
      <c r="A297" s="144"/>
      <c r="B297" s="79"/>
      <c r="C297" s="73"/>
      <c r="D297" s="79"/>
      <c r="E297" s="146"/>
      <c r="F297" s="146"/>
    </row>
    <row r="298" spans="1:6" x14ac:dyDescent="0.25">
      <c r="A298" s="62"/>
      <c r="B298" s="79"/>
      <c r="C298" s="73"/>
      <c r="D298" s="79"/>
      <c r="E298" s="146"/>
      <c r="F298" s="146"/>
    </row>
    <row r="299" spans="1:6" x14ac:dyDescent="0.25">
      <c r="A299" s="62"/>
      <c r="B299" s="79"/>
      <c r="C299" s="73"/>
      <c r="D299" s="79"/>
      <c r="E299" s="145"/>
      <c r="F299" s="145"/>
    </row>
    <row r="300" spans="1:6" x14ac:dyDescent="0.25">
      <c r="A300" s="148"/>
      <c r="B300" s="79"/>
      <c r="C300" s="73"/>
      <c r="D300" s="79"/>
      <c r="E300" s="145"/>
      <c r="F300" s="145"/>
    </row>
    <row r="301" spans="1:6" x14ac:dyDescent="0.25">
      <c r="A301" s="148"/>
      <c r="B301" s="79"/>
      <c r="C301" s="73"/>
      <c r="D301" s="79"/>
      <c r="E301" s="146"/>
      <c r="F301" s="146"/>
    </row>
    <row r="302" spans="1:6" x14ac:dyDescent="0.25">
      <c r="A302" s="62"/>
      <c r="B302" s="79"/>
      <c r="C302" s="73"/>
      <c r="D302" s="79"/>
      <c r="E302" s="145"/>
      <c r="F302" s="145"/>
    </row>
    <row r="303" spans="1:6" x14ac:dyDescent="0.25">
      <c r="A303" s="62"/>
      <c r="B303" s="79"/>
      <c r="C303" s="73"/>
      <c r="D303" s="79"/>
      <c r="E303" s="145"/>
      <c r="F303" s="145"/>
    </row>
    <row r="304" spans="1:6" x14ac:dyDescent="0.25">
      <c r="A304" s="62"/>
      <c r="B304" s="79"/>
      <c r="C304" s="73"/>
      <c r="D304" s="79"/>
      <c r="E304" s="145"/>
      <c r="F304" s="145"/>
    </row>
    <row r="305" spans="1:6" x14ac:dyDescent="0.25">
      <c r="A305" s="144"/>
      <c r="B305" s="79"/>
      <c r="C305" s="73"/>
      <c r="D305" s="79"/>
      <c r="E305" s="145"/>
      <c r="F305" s="145"/>
    </row>
    <row r="306" spans="1:6" x14ac:dyDescent="0.25">
      <c r="A306" s="144"/>
      <c r="B306" s="79"/>
      <c r="C306" s="73"/>
      <c r="D306" s="79"/>
      <c r="E306" s="146"/>
      <c r="F306" s="146"/>
    </row>
    <row r="307" spans="1:6" x14ac:dyDescent="0.25">
      <c r="A307" s="62"/>
      <c r="B307" s="62"/>
      <c r="C307" s="73"/>
      <c r="D307" s="79"/>
      <c r="E307" s="145"/>
      <c r="F307" s="145"/>
    </row>
    <row r="308" spans="1:6" x14ac:dyDescent="0.25">
      <c r="A308" s="9"/>
      <c r="B308" s="60"/>
      <c r="C308" s="73"/>
      <c r="D308" s="4"/>
      <c r="E308" s="149"/>
      <c r="F308" s="149"/>
    </row>
    <row r="309" spans="1:6" x14ac:dyDescent="0.25">
      <c r="A309" s="62"/>
      <c r="B309" s="79"/>
      <c r="C309" s="73"/>
      <c r="D309" s="79"/>
      <c r="E309" s="145"/>
      <c r="F309" s="145"/>
    </row>
  </sheetData>
  <mergeCells count="60">
    <mergeCell ref="E307:F307"/>
    <mergeCell ref="E308:F308"/>
    <mergeCell ref="E309:F309"/>
    <mergeCell ref="D217:G217"/>
    <mergeCell ref="D218:G218"/>
    <mergeCell ref="D219:G219"/>
    <mergeCell ref="E302:F302"/>
    <mergeCell ref="E303:F303"/>
    <mergeCell ref="E304:F304"/>
    <mergeCell ref="E290:F290"/>
    <mergeCell ref="E291:F291"/>
    <mergeCell ref="E292:F292"/>
    <mergeCell ref="E293:F293"/>
    <mergeCell ref="E294:F294"/>
    <mergeCell ref="E295:F295"/>
    <mergeCell ref="E288:F289"/>
    <mergeCell ref="A305:A306"/>
    <mergeCell ref="E305:F305"/>
    <mergeCell ref="E306:F306"/>
    <mergeCell ref="A296:A297"/>
    <mergeCell ref="E296:F296"/>
    <mergeCell ref="E297:F297"/>
    <mergeCell ref="E298:F298"/>
    <mergeCell ref="E299:F299"/>
    <mergeCell ref="A300:A301"/>
    <mergeCell ref="E300:F300"/>
    <mergeCell ref="E301:F301"/>
    <mergeCell ref="B219:C219"/>
    <mergeCell ref="A288:A289"/>
    <mergeCell ref="B288:B289"/>
    <mergeCell ref="C288:C289"/>
    <mergeCell ref="D288:D289"/>
    <mergeCell ref="B216:C216"/>
    <mergeCell ref="B217:C217"/>
    <mergeCell ref="B218:C218"/>
    <mergeCell ref="D216:G216"/>
    <mergeCell ref="B209:C209"/>
    <mergeCell ref="D209:E209"/>
    <mergeCell ref="F209:F210"/>
    <mergeCell ref="B210:C210"/>
    <mergeCell ref="D210:E210"/>
    <mergeCell ref="B211:C211"/>
    <mergeCell ref="D211:E211"/>
    <mergeCell ref="F211:F212"/>
    <mergeCell ref="B212:C212"/>
    <mergeCell ref="D212:E212"/>
    <mergeCell ref="B40:C40"/>
    <mergeCell ref="B41:C41"/>
    <mergeCell ref="B208:C208"/>
    <mergeCell ref="A55:C55"/>
    <mergeCell ref="A56:C56"/>
    <mergeCell ref="A139:C139"/>
    <mergeCell ref="A140:C140"/>
    <mergeCell ref="A40:A42"/>
    <mergeCell ref="G40:G42"/>
    <mergeCell ref="F41:F42"/>
    <mergeCell ref="E41:E42"/>
    <mergeCell ref="D41:D42"/>
    <mergeCell ref="D208:E208"/>
    <mergeCell ref="D43:D45"/>
  </mergeCells>
  <phoneticPr fontId="24" type="noConversion"/>
  <pageMargins left="0.55118110236220474" right="0.31496062992125984" top="0.98425196850393704" bottom="0.98425196850393704" header="0.51181102362204722" footer="0.51181102362204722"/>
  <pageSetup paperSize="9" orientation="portrait" r:id="rId1"/>
  <headerFooter alignWithMargins="0">
    <oddFooter>&amp;C&amp;"宋体,常规"第&amp;"Times New Roman,常规" &amp;P &amp;"宋体,常规"页</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29"/>
  <sheetViews>
    <sheetView tabSelected="1" zoomScaleNormal="100" workbookViewId="0">
      <selection activeCell="F64" sqref="F64"/>
    </sheetView>
  </sheetViews>
  <sheetFormatPr defaultColWidth="9" defaultRowHeight="15.75" x14ac:dyDescent="0.25"/>
  <cols>
    <col min="1" max="1" width="12.625" customWidth="1"/>
    <col min="2" max="3" width="11.125" customWidth="1"/>
    <col min="4" max="4" width="12.75" customWidth="1"/>
    <col min="5" max="5" width="12.5" customWidth="1"/>
    <col min="6" max="6" width="14.875" customWidth="1"/>
    <col min="7" max="7" width="13.25" customWidth="1"/>
    <col min="11" max="11" width="10.5" bestFit="1" customWidth="1"/>
    <col min="14" max="14" width="9.5" bestFit="1" customWidth="1"/>
  </cols>
  <sheetData>
    <row r="1" spans="1:8" ht="18.75" x14ac:dyDescent="0.25">
      <c r="B1" s="2" t="s">
        <v>142</v>
      </c>
    </row>
    <row r="2" spans="1:8" x14ac:dyDescent="0.25">
      <c r="A2" s="1" t="s">
        <v>37</v>
      </c>
    </row>
    <row r="3" spans="1:8" x14ac:dyDescent="0.25">
      <c r="A3" s="1" t="s">
        <v>83</v>
      </c>
    </row>
    <row r="4" spans="1:8" x14ac:dyDescent="0.25">
      <c r="A4" s="3" t="s">
        <v>143</v>
      </c>
      <c r="B4" s="3"/>
      <c r="C4" s="3"/>
      <c r="D4" s="3"/>
      <c r="E4" s="3"/>
      <c r="F4" s="3"/>
      <c r="G4" s="3"/>
    </row>
    <row r="5" spans="1:8" x14ac:dyDescent="0.25">
      <c r="A5" s="3" t="s">
        <v>38</v>
      </c>
    </row>
    <row r="6" spans="1:8" x14ac:dyDescent="0.25">
      <c r="A6" s="10" t="s">
        <v>66</v>
      </c>
      <c r="H6" s="10" t="s">
        <v>347</v>
      </c>
    </row>
    <row r="7" spans="1:8" x14ac:dyDescent="0.25">
      <c r="A7" s="10" t="s">
        <v>311</v>
      </c>
    </row>
    <row r="8" spans="1:8" x14ac:dyDescent="0.25">
      <c r="A8" s="10" t="s">
        <v>312</v>
      </c>
    </row>
    <row r="9" spans="1:8" x14ac:dyDescent="0.25">
      <c r="A9" s="23"/>
    </row>
    <row r="10" spans="1:8" x14ac:dyDescent="0.25">
      <c r="A10" s="3" t="s">
        <v>39</v>
      </c>
    </row>
    <row r="11" spans="1:8" x14ac:dyDescent="0.25">
      <c r="A11" s="10" t="s">
        <v>141</v>
      </c>
    </row>
    <row r="12" spans="1:8" x14ac:dyDescent="0.25">
      <c r="A12" s="23" t="s">
        <v>183</v>
      </c>
    </row>
    <row r="13" spans="1:8" x14ac:dyDescent="0.25">
      <c r="A13" s="3"/>
    </row>
    <row r="14" spans="1:8" x14ac:dyDescent="0.25">
      <c r="A14" s="1" t="s">
        <v>84</v>
      </c>
    </row>
    <row r="15" spans="1:8" x14ac:dyDescent="0.25">
      <c r="A15" s="1" t="s">
        <v>215</v>
      </c>
    </row>
    <row r="16" spans="1:8" x14ac:dyDescent="0.25">
      <c r="A16" t="s">
        <v>314</v>
      </c>
    </row>
    <row r="17" spans="1:8" x14ac:dyDescent="0.25">
      <c r="A17" s="3" t="s">
        <v>315</v>
      </c>
    </row>
    <row r="18" spans="1:8" x14ac:dyDescent="0.25">
      <c r="A18" s="3" t="s">
        <v>316</v>
      </c>
    </row>
    <row r="19" spans="1:8" x14ac:dyDescent="0.25">
      <c r="A19" s="3"/>
    </row>
    <row r="20" spans="1:8" x14ac:dyDescent="0.25">
      <c r="A20" s="1" t="s">
        <v>24</v>
      </c>
    </row>
    <row r="21" spans="1:8" x14ac:dyDescent="0.25">
      <c r="A21" t="s">
        <v>356</v>
      </c>
      <c r="B21" s="3"/>
      <c r="C21" s="3"/>
      <c r="D21" s="3"/>
    </row>
    <row r="22" spans="1:8" x14ac:dyDescent="0.25">
      <c r="A22" t="s">
        <v>357</v>
      </c>
      <c r="B22" s="3"/>
      <c r="C22" s="3"/>
      <c r="D22" s="3"/>
    </row>
    <row r="23" spans="1:8" x14ac:dyDescent="0.25">
      <c r="A23" t="s">
        <v>358</v>
      </c>
      <c r="B23" s="3"/>
      <c r="C23" s="3"/>
      <c r="D23" s="3"/>
      <c r="H23" s="10" t="s">
        <v>341</v>
      </c>
    </row>
    <row r="24" spans="1:8" x14ac:dyDescent="0.25">
      <c r="A24" t="s">
        <v>359</v>
      </c>
      <c r="B24" s="3"/>
      <c r="C24" s="3"/>
      <c r="D24" s="3"/>
    </row>
    <row r="25" spans="1:8" x14ac:dyDescent="0.25">
      <c r="B25" s="3"/>
      <c r="C25" s="3"/>
      <c r="D25" s="3"/>
    </row>
    <row r="26" spans="1:8" x14ac:dyDescent="0.25">
      <c r="A26" s="1" t="s">
        <v>85</v>
      </c>
      <c r="B26" s="3"/>
      <c r="C26" s="3"/>
      <c r="D26" s="3"/>
      <c r="E26" s="3"/>
      <c r="F26" s="3"/>
    </row>
    <row r="27" spans="1:8" x14ac:dyDescent="0.25">
      <c r="A27" s="3" t="s">
        <v>109</v>
      </c>
      <c r="B27" s="3"/>
      <c r="C27" s="19">
        <v>1</v>
      </c>
      <c r="D27" s="3"/>
      <c r="E27" s="3"/>
      <c r="F27" s="3"/>
    </row>
    <row r="28" spans="1:8" x14ac:dyDescent="0.25">
      <c r="A28" s="3" t="s">
        <v>111</v>
      </c>
      <c r="B28" s="3"/>
      <c r="C28" s="60" t="str">
        <f>IF(C27=1,"Ⅰ",IF(C27&gt;3,"Ⅲ","Ⅱ"))</f>
        <v>Ⅰ</v>
      </c>
      <c r="D28" s="3"/>
      <c r="E28" s="3"/>
      <c r="F28" s="3"/>
    </row>
    <row r="29" spans="1:8" x14ac:dyDescent="0.25">
      <c r="A29" s="3" t="s">
        <v>113</v>
      </c>
      <c r="B29" s="3"/>
      <c r="C29" s="31">
        <v>6</v>
      </c>
      <c r="D29" s="3"/>
      <c r="E29" s="3"/>
      <c r="F29" s="3"/>
    </row>
    <row r="30" spans="1:8" x14ac:dyDescent="0.25">
      <c r="A30" s="3" t="s">
        <v>180</v>
      </c>
      <c r="B30" s="3"/>
      <c r="C30" s="3"/>
      <c r="D30" s="33">
        <v>80</v>
      </c>
      <c r="E30" s="3" t="s">
        <v>11</v>
      </c>
      <c r="F30" s="3"/>
    </row>
    <row r="31" spans="1:8" ht="19.5" x14ac:dyDescent="0.3">
      <c r="A31" s="16" t="s">
        <v>112</v>
      </c>
      <c r="B31" s="3"/>
      <c r="C31" s="61">
        <v>14</v>
      </c>
      <c r="D31" s="62" t="s">
        <v>20</v>
      </c>
      <c r="E31" s="16" t="s">
        <v>186</v>
      </c>
    </row>
    <row r="32" spans="1:8" ht="20.25" x14ac:dyDescent="0.35">
      <c r="A32" s="3" t="s">
        <v>360</v>
      </c>
      <c r="B32" s="3"/>
      <c r="C32" s="60">
        <v>9.81</v>
      </c>
      <c r="D32" s="62" t="s">
        <v>20</v>
      </c>
      <c r="H32" s="3"/>
    </row>
    <row r="33" spans="1:7" x14ac:dyDescent="0.25">
      <c r="A33" s="3" t="s">
        <v>361</v>
      </c>
      <c r="B33" s="3"/>
      <c r="D33" s="62"/>
    </row>
    <row r="34" spans="1:7" ht="18.75" x14ac:dyDescent="0.3">
      <c r="A34" s="23" t="s">
        <v>262</v>
      </c>
      <c r="B34" s="3"/>
      <c r="C34" s="3"/>
      <c r="D34" s="3"/>
      <c r="F34" s="63">
        <v>1.1000000000000001</v>
      </c>
      <c r="G34" s="62"/>
    </row>
    <row r="35" spans="1:7" ht="18.75" x14ac:dyDescent="0.3">
      <c r="A35" s="23" t="s">
        <v>259</v>
      </c>
      <c r="B35" s="3"/>
      <c r="C35" s="3"/>
      <c r="D35" s="3"/>
      <c r="F35" s="64">
        <v>1.1000000000000001</v>
      </c>
      <c r="G35" s="62" t="s">
        <v>0</v>
      </c>
    </row>
    <row r="36" spans="1:7" ht="18.75" x14ac:dyDescent="0.3">
      <c r="A36" s="23" t="s">
        <v>260</v>
      </c>
      <c r="B36" s="3"/>
      <c r="C36" s="3"/>
      <c r="D36" s="3"/>
      <c r="F36" s="63">
        <v>0.55000000000000004</v>
      </c>
      <c r="G36" s="62"/>
    </row>
    <row r="37" spans="1:7" ht="18.75" x14ac:dyDescent="0.3">
      <c r="A37" s="23" t="s">
        <v>261</v>
      </c>
      <c r="B37" s="3"/>
      <c r="C37" s="3"/>
      <c r="D37" s="3"/>
      <c r="F37" s="64">
        <v>0.5</v>
      </c>
      <c r="G37" s="62" t="s">
        <v>0</v>
      </c>
    </row>
    <row r="38" spans="1:7" x14ac:dyDescent="0.25">
      <c r="B38" s="3"/>
      <c r="C38" s="3"/>
      <c r="D38" s="3"/>
      <c r="E38" s="3"/>
      <c r="F38" s="9"/>
    </row>
    <row r="39" spans="1:7" x14ac:dyDescent="0.25">
      <c r="A39" s="1" t="s">
        <v>86</v>
      </c>
      <c r="B39" s="3"/>
      <c r="C39" s="3"/>
      <c r="D39" s="3"/>
      <c r="E39" s="3"/>
      <c r="F39" s="9"/>
    </row>
    <row r="40" spans="1:7" x14ac:dyDescent="0.25">
      <c r="A40" s="3" t="s">
        <v>258</v>
      </c>
      <c r="B40" s="3"/>
      <c r="C40" s="3"/>
      <c r="D40" s="3"/>
      <c r="E40" s="3"/>
      <c r="F40" s="9"/>
    </row>
    <row r="41" spans="1:7" x14ac:dyDescent="0.25">
      <c r="A41" s="3"/>
      <c r="B41" s="3"/>
      <c r="C41" s="3"/>
      <c r="D41" s="3"/>
      <c r="E41" s="3"/>
      <c r="F41" s="9"/>
    </row>
    <row r="42" spans="1:7" x14ac:dyDescent="0.25">
      <c r="A42" s="3"/>
      <c r="B42" s="3"/>
      <c r="C42" s="3"/>
      <c r="D42" s="3"/>
      <c r="E42" s="3"/>
      <c r="F42" s="9"/>
    </row>
    <row r="43" spans="1:7" x14ac:dyDescent="0.25">
      <c r="A43" s="3"/>
      <c r="B43" s="3"/>
      <c r="C43" s="3"/>
      <c r="D43" s="3"/>
      <c r="E43" s="3"/>
      <c r="F43" s="9"/>
    </row>
    <row r="44" spans="1:7" x14ac:dyDescent="0.25">
      <c r="A44" s="3"/>
      <c r="B44" s="3"/>
      <c r="C44" s="3"/>
      <c r="D44" s="3"/>
      <c r="E44" s="3"/>
      <c r="F44" s="9"/>
    </row>
    <row r="45" spans="1:7" ht="16.5" thickBot="1" x14ac:dyDescent="0.3">
      <c r="B45" t="s">
        <v>427</v>
      </c>
      <c r="F45" s="9"/>
    </row>
    <row r="46" spans="1:7" ht="16.5" x14ac:dyDescent="0.25">
      <c r="A46" s="128" t="s">
        <v>74</v>
      </c>
      <c r="B46" s="124" t="s">
        <v>199</v>
      </c>
      <c r="C46" s="124"/>
      <c r="D46" s="55" t="s">
        <v>80</v>
      </c>
      <c r="E46" s="55" t="s">
        <v>178</v>
      </c>
      <c r="F46" s="55" t="s">
        <v>79</v>
      </c>
      <c r="G46" s="114" t="s">
        <v>78</v>
      </c>
    </row>
    <row r="47" spans="1:7" x14ac:dyDescent="0.25">
      <c r="A47" s="129"/>
      <c r="B47" s="125" t="s">
        <v>11</v>
      </c>
      <c r="C47" s="125"/>
      <c r="D47" s="117" t="s">
        <v>11</v>
      </c>
      <c r="E47" s="117" t="s">
        <v>13</v>
      </c>
      <c r="F47" s="117" t="s">
        <v>13</v>
      </c>
      <c r="G47" s="115"/>
    </row>
    <row r="48" spans="1:7" x14ac:dyDescent="0.25">
      <c r="A48" s="130"/>
      <c r="B48" s="44" t="s">
        <v>200</v>
      </c>
      <c r="C48" s="44" t="s">
        <v>201</v>
      </c>
      <c r="D48" s="118"/>
      <c r="E48" s="118"/>
      <c r="F48" s="118"/>
      <c r="G48" s="116"/>
    </row>
    <row r="49" spans="1:7" x14ac:dyDescent="0.25">
      <c r="A49" s="36" t="s">
        <v>75</v>
      </c>
      <c r="B49" s="95">
        <f>E178</f>
        <v>8.701458373182918</v>
      </c>
      <c r="C49" s="95">
        <f>E179</f>
        <v>12.530298636314548</v>
      </c>
      <c r="D49" s="121">
        <f>D208</f>
        <v>32</v>
      </c>
      <c r="E49" s="37">
        <f>C261</f>
        <v>47089.952146621035</v>
      </c>
      <c r="F49" s="37">
        <f>F261</f>
        <v>166741.36136099437</v>
      </c>
      <c r="G49" s="38" t="str">
        <f>IF(E49&lt;F49,"满足规范要求","不满足规范要求")</f>
        <v>满足规范要求</v>
      </c>
    </row>
    <row r="50" spans="1:7" x14ac:dyDescent="0.25">
      <c r="A50" s="36" t="s">
        <v>76</v>
      </c>
      <c r="B50" s="95">
        <f>E184</f>
        <v>8.9763219443557372</v>
      </c>
      <c r="C50" s="95">
        <f>E185</f>
        <v>12.926108451558138</v>
      </c>
      <c r="D50" s="122"/>
      <c r="E50" s="37">
        <f>C271</f>
        <v>41338.555443193698</v>
      </c>
      <c r="F50" s="37">
        <f>F271</f>
        <v>166790.82173689725</v>
      </c>
      <c r="G50" s="38" t="str">
        <f>IF(E50&lt;F50,"满足规范要求","不满足规范要求")</f>
        <v>满足规范要求</v>
      </c>
    </row>
    <row r="51" spans="1:7" ht="16.5" thickBot="1" x14ac:dyDescent="0.3">
      <c r="A51" s="39" t="s">
        <v>77</v>
      </c>
      <c r="B51" s="46" t="s">
        <v>160</v>
      </c>
      <c r="C51" s="46" t="s">
        <v>160</v>
      </c>
      <c r="D51" s="123"/>
      <c r="E51" s="43">
        <f>IF(C29&gt;=6,C357,"-")</f>
        <v>40191.554915773537</v>
      </c>
      <c r="F51" s="43">
        <f>IF(C29&gt;=6,F357,"-")</f>
        <v>183591.02819845855</v>
      </c>
      <c r="G51" s="40" t="str">
        <f>IF(E51&lt;F51,"满足规范要求","不满足规范要求")</f>
        <v>满足规范要求</v>
      </c>
    </row>
    <row r="52" spans="1:7" x14ac:dyDescent="0.25">
      <c r="B52" s="3"/>
      <c r="C52" s="3"/>
      <c r="D52" s="3"/>
      <c r="E52" s="3"/>
      <c r="F52" s="9"/>
    </row>
    <row r="53" spans="1:7" ht="16.5" thickBot="1" x14ac:dyDescent="0.3">
      <c r="B53" s="98" t="s">
        <v>428</v>
      </c>
      <c r="F53" s="9"/>
    </row>
    <row r="54" spans="1:7" ht="16.5" x14ac:dyDescent="0.25">
      <c r="A54" s="154" t="s">
        <v>74</v>
      </c>
      <c r="B54" s="124" t="s">
        <v>199</v>
      </c>
      <c r="C54" s="124"/>
      <c r="D54" s="55" t="s">
        <v>80</v>
      </c>
      <c r="E54" s="55" t="s">
        <v>178</v>
      </c>
      <c r="F54" s="55" t="s">
        <v>79</v>
      </c>
      <c r="G54" s="158" t="s">
        <v>78</v>
      </c>
    </row>
    <row r="55" spans="1:7" x14ac:dyDescent="0.25">
      <c r="A55" s="155"/>
      <c r="B55" s="125" t="s">
        <v>11</v>
      </c>
      <c r="C55" s="125"/>
      <c r="D55" s="118" t="s">
        <v>11</v>
      </c>
      <c r="E55" s="118" t="s">
        <v>13</v>
      </c>
      <c r="F55" s="118" t="s">
        <v>13</v>
      </c>
      <c r="G55" s="159"/>
    </row>
    <row r="56" spans="1:7" x14ac:dyDescent="0.25">
      <c r="A56" s="155"/>
      <c r="B56" s="44" t="s">
        <v>200</v>
      </c>
      <c r="C56" s="44" t="s">
        <v>201</v>
      </c>
      <c r="D56" s="153"/>
      <c r="E56" s="153"/>
      <c r="F56" s="153"/>
      <c r="G56" s="159"/>
    </row>
    <row r="57" spans="1:7" x14ac:dyDescent="0.25">
      <c r="A57" s="36" t="s">
        <v>75</v>
      </c>
      <c r="B57" s="95">
        <f>E191</f>
        <v>22.12824702390926</v>
      </c>
      <c r="C57" s="95">
        <f>E192</f>
        <v>30.731108458858305</v>
      </c>
      <c r="D57" s="156">
        <f>D208</f>
        <v>32</v>
      </c>
      <c r="E57" s="37">
        <f>C373</f>
        <v>63714.507346879218</v>
      </c>
      <c r="F57" s="37">
        <f>F373</f>
        <v>89122.390430848041</v>
      </c>
      <c r="G57" s="38" t="str">
        <f t="shared" ref="G57:G59" si="0">IF(E57&lt;F57,"满足规范要求","不满足规范要求")</f>
        <v>满足规范要求</v>
      </c>
    </row>
    <row r="58" spans="1:7" x14ac:dyDescent="0.25">
      <c r="A58" s="36" t="s">
        <v>76</v>
      </c>
      <c r="B58" s="95">
        <f>E197</f>
        <v>22.827155504622297</v>
      </c>
      <c r="C58" s="95">
        <f>E198</f>
        <v>31.701733574367964</v>
      </c>
      <c r="D58" s="156"/>
      <c r="E58" s="37">
        <f>C383</f>
        <v>55932.427614215288</v>
      </c>
      <c r="F58" s="37">
        <f>F383</f>
        <v>89155.847177061383</v>
      </c>
      <c r="G58" s="38" t="str">
        <f t="shared" si="0"/>
        <v>满足规范要求</v>
      </c>
    </row>
    <row r="59" spans="1:7" ht="16.5" thickBot="1" x14ac:dyDescent="0.3">
      <c r="A59" s="39" t="s">
        <v>77</v>
      </c>
      <c r="B59" s="46" t="s">
        <v>160</v>
      </c>
      <c r="C59" s="46" t="s">
        <v>160</v>
      </c>
      <c r="D59" s="157"/>
      <c r="E59" s="43">
        <f>C426</f>
        <v>54384.889406956041</v>
      </c>
      <c r="F59" s="43">
        <f>F426</f>
        <v>97890.447770396335</v>
      </c>
      <c r="G59" s="40" t="str">
        <f t="shared" si="0"/>
        <v>满足规范要求</v>
      </c>
    </row>
    <row r="60" spans="1:7" x14ac:dyDescent="0.25">
      <c r="B60" s="3"/>
      <c r="C60" s="3"/>
      <c r="D60" s="3"/>
      <c r="E60" s="3"/>
      <c r="F60" s="9"/>
    </row>
    <row r="61" spans="1:7" x14ac:dyDescent="0.25">
      <c r="A61" t="s">
        <v>82</v>
      </c>
      <c r="F61" s="62"/>
    </row>
    <row r="62" spans="1:7" x14ac:dyDescent="0.25">
      <c r="A62" s="3" t="s">
        <v>363</v>
      </c>
      <c r="F62" s="62"/>
    </row>
    <row r="63" spans="1:7" x14ac:dyDescent="0.25">
      <c r="A63" s="3" t="s">
        <v>176</v>
      </c>
      <c r="D63" s="19" t="s">
        <v>177</v>
      </c>
      <c r="F63" s="62"/>
    </row>
    <row r="64" spans="1:7" ht="18.75" x14ac:dyDescent="0.3">
      <c r="A64" s="3" t="s">
        <v>29</v>
      </c>
      <c r="C64" s="65">
        <v>470</v>
      </c>
      <c r="D64" s="62" t="s">
        <v>1</v>
      </c>
    </row>
    <row r="65" spans="1:6" ht="18.75" x14ac:dyDescent="0.3">
      <c r="A65" s="3" t="s">
        <v>421</v>
      </c>
      <c r="C65" s="65">
        <v>471.9</v>
      </c>
      <c r="D65" s="62" t="s">
        <v>1</v>
      </c>
    </row>
    <row r="66" spans="1:6" ht="18.75" x14ac:dyDescent="0.3">
      <c r="A66" s="3" t="s">
        <v>364</v>
      </c>
      <c r="C66" s="65">
        <v>475.14</v>
      </c>
      <c r="D66" s="62" t="s">
        <v>1</v>
      </c>
    </row>
    <row r="67" spans="1:6" x14ac:dyDescent="0.25">
      <c r="A67" s="3"/>
    </row>
    <row r="68" spans="1:6" x14ac:dyDescent="0.25">
      <c r="A68" s="1" t="s">
        <v>320</v>
      </c>
    </row>
    <row r="69" spans="1:6" x14ac:dyDescent="0.25">
      <c r="A69" s="3" t="s">
        <v>217</v>
      </c>
      <c r="B69" s="3"/>
      <c r="C69" s="6" t="s">
        <v>2</v>
      </c>
      <c r="E69" s="3"/>
      <c r="F69" s="3"/>
    </row>
    <row r="70" spans="1:6" x14ac:dyDescent="0.25">
      <c r="A70" s="127" t="s">
        <v>218</v>
      </c>
      <c r="B70" s="127"/>
      <c r="C70" s="127"/>
      <c r="E70" s="3"/>
      <c r="F70" s="3"/>
    </row>
    <row r="71" spans="1:6" x14ac:dyDescent="0.25">
      <c r="A71" s="127" t="s">
        <v>220</v>
      </c>
      <c r="B71" s="127"/>
      <c r="C71" s="127"/>
      <c r="D71" s="66">
        <v>7.5</v>
      </c>
      <c r="E71" s="62" t="s">
        <v>1</v>
      </c>
    </row>
    <row r="72" spans="1:6" x14ac:dyDescent="0.25">
      <c r="A72" s="127" t="s">
        <v>221</v>
      </c>
      <c r="B72" s="127"/>
      <c r="C72" s="127"/>
      <c r="D72" s="66">
        <v>6.5</v>
      </c>
      <c r="E72" s="62" t="s">
        <v>1</v>
      </c>
    </row>
    <row r="73" spans="1:6" x14ac:dyDescent="0.25">
      <c r="A73" s="9" t="s">
        <v>222</v>
      </c>
      <c r="B73" s="3"/>
      <c r="C73" s="60"/>
      <c r="D73" s="67">
        <v>112.28</v>
      </c>
      <c r="E73" t="s">
        <v>3</v>
      </c>
      <c r="F73" s="68"/>
    </row>
    <row r="74" spans="1:6" x14ac:dyDescent="0.25">
      <c r="A74" s="25" t="s">
        <v>223</v>
      </c>
      <c r="B74" s="3"/>
      <c r="D74" s="69">
        <f>D71/(2*SIN(D73/2/180*PI()))</f>
        <v>4.5158880012679656</v>
      </c>
      <c r="E74" s="62" t="s">
        <v>1</v>
      </c>
    </row>
    <row r="75" spans="1:6" ht="18.75" x14ac:dyDescent="0.35">
      <c r="A75" s="25" t="s">
        <v>224</v>
      </c>
      <c r="B75" s="3"/>
      <c r="D75" s="69">
        <f>D74-D74*COS((D73/180*PI()/2))</f>
        <v>1.9997909363684454</v>
      </c>
      <c r="E75" s="62" t="s">
        <v>1</v>
      </c>
    </row>
    <row r="76" spans="1:6" ht="18.75" x14ac:dyDescent="0.35">
      <c r="A76" s="23" t="s">
        <v>225</v>
      </c>
      <c r="B76" s="3"/>
      <c r="D76" s="69">
        <f>D72-D75</f>
        <v>4.500209063631555</v>
      </c>
      <c r="E76" s="62" t="s">
        <v>1</v>
      </c>
    </row>
    <row r="77" spans="1:6" x14ac:dyDescent="0.25">
      <c r="A77" s="23" t="s">
        <v>226</v>
      </c>
      <c r="B77" s="3"/>
      <c r="D77" s="70">
        <f>2*PI()*D73*D74/360</f>
        <v>8.8495855906209293</v>
      </c>
      <c r="E77" s="62" t="s">
        <v>1</v>
      </c>
    </row>
    <row r="78" spans="1:6" ht="19.5" x14ac:dyDescent="0.3">
      <c r="A78" s="3" t="s">
        <v>227</v>
      </c>
      <c r="B78" s="3"/>
      <c r="E78" s="69">
        <f>D71*D76+PI()*D74^2*(D73/360)-D71*(D74-D75)/2</f>
        <v>44.298072676302922</v>
      </c>
      <c r="F78" s="62" t="s">
        <v>18</v>
      </c>
    </row>
    <row r="79" spans="1:6" x14ac:dyDescent="0.25">
      <c r="A79" s="127" t="s">
        <v>219</v>
      </c>
      <c r="B79" s="127"/>
      <c r="C79" s="127"/>
      <c r="E79" s="69"/>
      <c r="F79" s="62"/>
    </row>
    <row r="80" spans="1:6" ht="18.75" x14ac:dyDescent="0.3">
      <c r="A80" s="9" t="s">
        <v>305</v>
      </c>
      <c r="B80" s="3"/>
      <c r="D80" s="99">
        <f>0.6</f>
        <v>0.6</v>
      </c>
      <c r="E80" s="3" t="s">
        <v>11</v>
      </c>
    </row>
    <row r="81" spans="1:12" ht="18.75" x14ac:dyDescent="0.3">
      <c r="A81" s="9" t="s">
        <v>306</v>
      </c>
      <c r="B81" s="3"/>
      <c r="D81" s="99">
        <v>0.6</v>
      </c>
      <c r="E81" t="s">
        <v>11</v>
      </c>
    </row>
    <row r="82" spans="1:12" ht="18.75" x14ac:dyDescent="0.3">
      <c r="A82" s="9" t="s">
        <v>307</v>
      </c>
      <c r="B82" s="3"/>
      <c r="D82" s="99">
        <v>0.5</v>
      </c>
      <c r="E82" t="s">
        <v>11</v>
      </c>
    </row>
    <row r="83" spans="1:12" x14ac:dyDescent="0.25">
      <c r="A83" s="127" t="s">
        <v>228</v>
      </c>
      <c r="B83" s="127"/>
      <c r="C83" s="127"/>
      <c r="D83" s="100">
        <f>D71+D81*2</f>
        <v>8.6999999999999993</v>
      </c>
      <c r="E83" s="62" t="s">
        <v>1</v>
      </c>
      <c r="H83" s="3"/>
      <c r="K83" s="91"/>
    </row>
    <row r="84" spans="1:12" x14ac:dyDescent="0.25">
      <c r="A84" s="127" t="s">
        <v>229</v>
      </c>
      <c r="B84" s="127"/>
      <c r="C84" s="127"/>
      <c r="D84" s="100">
        <f>D72+D80+D82</f>
        <v>7.6</v>
      </c>
      <c r="E84" s="62" t="s">
        <v>1</v>
      </c>
      <c r="H84" s="3"/>
      <c r="I84" s="91"/>
      <c r="J84" s="91"/>
      <c r="K84" s="101"/>
    </row>
    <row r="85" spans="1:12" x14ac:dyDescent="0.25">
      <c r="A85" s="25" t="s">
        <v>308</v>
      </c>
      <c r="B85" s="3"/>
      <c r="D85" s="69">
        <f>D74+D80</f>
        <v>5.1158880012679653</v>
      </c>
      <c r="E85" s="62" t="s">
        <v>1</v>
      </c>
      <c r="H85" s="3"/>
      <c r="I85" s="91"/>
      <c r="J85" s="101"/>
      <c r="L85" s="69"/>
    </row>
    <row r="86" spans="1:12" x14ac:dyDescent="0.25">
      <c r="A86" s="9" t="s">
        <v>309</v>
      </c>
      <c r="B86" s="3"/>
      <c r="C86" s="60"/>
      <c r="E86" s="70">
        <f>2*ASIN(0.5*D83/D85)*180/PI()</f>
        <v>116.48694411356665</v>
      </c>
      <c r="F86" t="s">
        <v>3</v>
      </c>
      <c r="H86" s="3"/>
      <c r="I86" s="3"/>
      <c r="L86" s="69"/>
    </row>
    <row r="87" spans="1:12" ht="18.75" x14ac:dyDescent="0.35">
      <c r="A87" s="25" t="s">
        <v>230</v>
      </c>
      <c r="B87" s="3"/>
      <c r="E87" s="69">
        <f>D85-D85*COS((E86/180*PI()/2))</f>
        <v>2.4233408723364143</v>
      </c>
      <c r="F87" s="62" t="s">
        <v>1</v>
      </c>
      <c r="H87" s="3"/>
      <c r="I87" s="3"/>
      <c r="J87" s="102"/>
      <c r="L87" s="91"/>
    </row>
    <row r="88" spans="1:12" ht="18.75" x14ac:dyDescent="0.35">
      <c r="A88" s="23" t="s">
        <v>231</v>
      </c>
      <c r="B88" s="3"/>
      <c r="D88" s="69">
        <f>D84-E87</f>
        <v>5.1766591276635854</v>
      </c>
      <c r="E88" s="62" t="s">
        <v>1</v>
      </c>
    </row>
    <row r="89" spans="1:12" x14ac:dyDescent="0.25">
      <c r="A89" s="23" t="s">
        <v>232</v>
      </c>
      <c r="B89" s="3"/>
      <c r="D89" s="70">
        <f>2*PI()*E86*D85/360</f>
        <v>10.401013211782873</v>
      </c>
      <c r="E89" s="62" t="s">
        <v>1</v>
      </c>
    </row>
    <row r="90" spans="1:12" ht="19.5" x14ac:dyDescent="0.3">
      <c r="A90" s="3" t="s">
        <v>233</v>
      </c>
      <c r="B90" s="3"/>
      <c r="E90" s="69"/>
      <c r="F90" s="69">
        <f>D83*D88+PI()*D85^2*(E86/360)-D83*(D85-E87)/2</f>
        <v>59.929563745415734</v>
      </c>
      <c r="G90" s="62" t="s">
        <v>18</v>
      </c>
    </row>
    <row r="92" spans="1:12" x14ac:dyDescent="0.25">
      <c r="A92" t="s">
        <v>214</v>
      </c>
    </row>
    <row r="93" spans="1:12" x14ac:dyDescent="0.25">
      <c r="A93" s="1" t="s">
        <v>40</v>
      </c>
    </row>
    <row r="94" spans="1:12" x14ac:dyDescent="0.25">
      <c r="A94" s="10" t="s">
        <v>344</v>
      </c>
    </row>
    <row r="95" spans="1:12" x14ac:dyDescent="0.25">
      <c r="A95" s="10" t="s">
        <v>345</v>
      </c>
    </row>
    <row r="96" spans="1:12" x14ac:dyDescent="0.25">
      <c r="A96" s="10" t="s">
        <v>346</v>
      </c>
    </row>
    <row r="97" spans="1:7" x14ac:dyDescent="0.25">
      <c r="A97" s="3"/>
    </row>
    <row r="98" spans="1:7" x14ac:dyDescent="0.25">
      <c r="A98" s="1" t="s">
        <v>210</v>
      </c>
    </row>
    <row r="99" spans="1:7" x14ac:dyDescent="0.25">
      <c r="A99" s="3" t="s">
        <v>317</v>
      </c>
      <c r="B99" s="3"/>
      <c r="C99" s="3"/>
      <c r="D99" s="3"/>
      <c r="E99" s="3"/>
      <c r="F99" s="3"/>
    </row>
    <row r="100" spans="1:7" x14ac:dyDescent="0.25">
      <c r="B100" s="21" t="s">
        <v>52</v>
      </c>
      <c r="D100" t="s">
        <v>365</v>
      </c>
      <c r="E100" s="3"/>
      <c r="F100" s="3"/>
    </row>
    <row r="101" spans="1:7" ht="18.75" x14ac:dyDescent="0.35">
      <c r="B101" s="21" t="s">
        <v>196</v>
      </c>
      <c r="D101" t="s">
        <v>366</v>
      </c>
      <c r="E101" s="3"/>
      <c r="F101" s="3"/>
    </row>
    <row r="102" spans="1:7" x14ac:dyDescent="0.25">
      <c r="A102" s="5" t="s">
        <v>4</v>
      </c>
      <c r="B102" t="s">
        <v>325</v>
      </c>
      <c r="C102" s="3"/>
      <c r="D102" s="3"/>
      <c r="E102" s="3"/>
      <c r="F102" s="3"/>
    </row>
    <row r="103" spans="1:7" x14ac:dyDescent="0.25">
      <c r="A103" s="3"/>
      <c r="B103" t="s">
        <v>367</v>
      </c>
      <c r="C103" s="3"/>
      <c r="E103" s="72">
        <v>3</v>
      </c>
      <c r="F103" s="3"/>
      <c r="G103" s="3"/>
    </row>
    <row r="104" spans="1:7" ht="18.75" x14ac:dyDescent="0.35">
      <c r="A104" s="3"/>
      <c r="B104" t="s">
        <v>368</v>
      </c>
      <c r="C104" s="3"/>
      <c r="E104" s="3"/>
      <c r="F104" s="45">
        <v>1.1000000000000001</v>
      </c>
      <c r="G104" s="3"/>
    </row>
    <row r="105" spans="1:7" ht="18.75" x14ac:dyDescent="0.35">
      <c r="A105" s="3"/>
      <c r="B105" t="s">
        <v>369</v>
      </c>
      <c r="C105" s="3"/>
      <c r="E105" s="3"/>
      <c r="F105" s="45">
        <v>5</v>
      </c>
      <c r="G105" s="3"/>
    </row>
    <row r="106" spans="1:7" x14ac:dyDescent="0.25">
      <c r="A106" s="3"/>
      <c r="B106" t="s">
        <v>370</v>
      </c>
      <c r="C106" s="3"/>
      <c r="D106" s="3"/>
      <c r="E106" s="3"/>
      <c r="F106" s="3"/>
      <c r="G106" s="3"/>
    </row>
    <row r="107" spans="1:7" ht="18.75" x14ac:dyDescent="0.25">
      <c r="A107" s="3"/>
      <c r="B107" t="s">
        <v>371</v>
      </c>
      <c r="C107" s="3"/>
      <c r="D107">
        <f>C31</f>
        <v>14</v>
      </c>
      <c r="E107" s="62" t="s">
        <v>19</v>
      </c>
      <c r="G107" s="3"/>
    </row>
    <row r="108" spans="1:7" x14ac:dyDescent="0.25">
      <c r="A108" s="3"/>
      <c r="B108" t="s">
        <v>243</v>
      </c>
      <c r="C108" s="3"/>
      <c r="D108" s="3"/>
      <c r="F108" s="3"/>
      <c r="G108" s="3"/>
    </row>
    <row r="109" spans="1:7" x14ac:dyDescent="0.25">
      <c r="A109" s="3"/>
      <c r="B109" t="s">
        <v>53</v>
      </c>
      <c r="C109" s="3"/>
      <c r="D109" s="3"/>
      <c r="E109" s="3"/>
      <c r="F109" s="3"/>
    </row>
    <row r="110" spans="1:7" x14ac:dyDescent="0.25">
      <c r="A110" s="3"/>
      <c r="C110" s="3" t="s">
        <v>49</v>
      </c>
      <c r="D110" s="74">
        <v>1</v>
      </c>
      <c r="E110" s="3"/>
      <c r="F110" s="3"/>
    </row>
    <row r="111" spans="1:7" x14ac:dyDescent="0.25">
      <c r="A111" s="3"/>
      <c r="C111" s="3" t="s">
        <v>50</v>
      </c>
      <c r="D111" s="75">
        <v>0.65</v>
      </c>
      <c r="E111" s="3"/>
      <c r="F111" s="3"/>
    </row>
    <row r="112" spans="1:7" x14ac:dyDescent="0.25">
      <c r="A112" s="3"/>
      <c r="C112" s="9" t="s">
        <v>51</v>
      </c>
      <c r="D112" s="74">
        <v>0</v>
      </c>
      <c r="E112" s="3"/>
      <c r="F112" s="3"/>
    </row>
    <row r="113" spans="1:7" x14ac:dyDescent="0.25">
      <c r="A113" s="3"/>
      <c r="B113" t="s">
        <v>249</v>
      </c>
      <c r="C113" s="9"/>
      <c r="D113" s="3"/>
      <c r="E113" s="3"/>
      <c r="F113" s="3"/>
    </row>
    <row r="114" spans="1:7" ht="16.5" thickBot="1" x14ac:dyDescent="0.3">
      <c r="A114" s="3"/>
      <c r="B114" t="s">
        <v>429</v>
      </c>
      <c r="C114" s="3"/>
      <c r="D114" s="3"/>
      <c r="E114" s="3"/>
      <c r="G114" s="9"/>
    </row>
    <row r="115" spans="1:7" ht="44.25" x14ac:dyDescent="0.25">
      <c r="A115" s="3"/>
      <c r="B115" s="51" t="s">
        <v>244</v>
      </c>
      <c r="C115" s="52" t="s">
        <v>245</v>
      </c>
      <c r="D115" s="47" t="s">
        <v>354</v>
      </c>
      <c r="E115" s="48" t="s">
        <v>355</v>
      </c>
      <c r="F115" s="76"/>
      <c r="G115" s="9"/>
    </row>
    <row r="116" spans="1:7" ht="18.75" x14ac:dyDescent="0.25">
      <c r="A116" s="3"/>
      <c r="B116" s="84" t="s">
        <v>238</v>
      </c>
      <c r="C116" s="85" t="s">
        <v>18</v>
      </c>
      <c r="D116" s="103">
        <f>E78</f>
        <v>44.298072676302922</v>
      </c>
      <c r="E116" s="104">
        <f>'堵头计算（地震基本烈度≥6，2个接触面)'!F90</f>
        <v>59.929563745415734</v>
      </c>
      <c r="F116" s="76"/>
      <c r="G116" s="9"/>
    </row>
    <row r="117" spans="1:7" x14ac:dyDescent="0.25">
      <c r="A117" s="3"/>
      <c r="B117" s="84" t="s">
        <v>239</v>
      </c>
      <c r="C117" s="49" t="s">
        <v>160</v>
      </c>
      <c r="D117" s="105">
        <f>F34</f>
        <v>1.1000000000000001</v>
      </c>
      <c r="E117" s="106">
        <f>'堵头计算（地震基本烈度≥6，2个接触面)'!F36</f>
        <v>0.55000000000000004</v>
      </c>
      <c r="F117" s="76"/>
      <c r="G117" s="9"/>
    </row>
    <row r="118" spans="1:7" ht="16.5" thickBot="1" x14ac:dyDescent="0.3">
      <c r="A118" s="3"/>
      <c r="B118" s="87" t="s">
        <v>240</v>
      </c>
      <c r="C118" s="50" t="s">
        <v>14</v>
      </c>
      <c r="D118" s="107">
        <f>F35</f>
        <v>1.1000000000000001</v>
      </c>
      <c r="E118" s="108">
        <f>'堵头计算（地震基本烈度≥6，2个接触面)'!F37</f>
        <v>0.5</v>
      </c>
      <c r="F118" s="76"/>
      <c r="G118" s="9"/>
    </row>
    <row r="119" spans="1:7" x14ac:dyDescent="0.25">
      <c r="A119" s="3"/>
      <c r="C119" s="3"/>
      <c r="D119" s="3"/>
      <c r="E119" s="3"/>
      <c r="F119" s="3"/>
    </row>
    <row r="120" spans="1:7" x14ac:dyDescent="0.25">
      <c r="A120" s="1" t="s">
        <v>324</v>
      </c>
      <c r="G120" s="3"/>
    </row>
    <row r="121" spans="1:7" x14ac:dyDescent="0.25">
      <c r="A121" s="7" t="s">
        <v>234</v>
      </c>
      <c r="B121" s="7"/>
      <c r="C121" s="7"/>
      <c r="G121" s="3"/>
    </row>
    <row r="122" spans="1:7" ht="18.75" x14ac:dyDescent="0.3">
      <c r="A122" s="3" t="s">
        <v>342</v>
      </c>
      <c r="B122" s="5"/>
      <c r="D122" s="96">
        <f>369-32*0.0817</f>
        <v>366.38560000000001</v>
      </c>
      <c r="E122" t="s">
        <v>11</v>
      </c>
      <c r="F122" s="3"/>
      <c r="G122" s="3"/>
    </row>
    <row r="123" spans="1:7" ht="18.75" x14ac:dyDescent="0.3">
      <c r="A123" s="3" t="s">
        <v>318</v>
      </c>
      <c r="B123" s="5"/>
      <c r="D123" s="70"/>
      <c r="E123" s="77">
        <f>C64-D122</f>
        <v>103.61439999999999</v>
      </c>
      <c r="F123" s="62" t="s">
        <v>1</v>
      </c>
      <c r="G123" s="3"/>
    </row>
    <row r="124" spans="1:7" ht="18.75" x14ac:dyDescent="0.3">
      <c r="A124" s="3" t="s">
        <v>42</v>
      </c>
      <c r="B124" s="5"/>
      <c r="D124" s="70"/>
      <c r="E124" s="77">
        <f>E123-D76</f>
        <v>99.114190936368431</v>
      </c>
      <c r="F124" s="62" t="s">
        <v>1</v>
      </c>
      <c r="G124" s="3"/>
    </row>
    <row r="125" spans="1:7" ht="18.75" x14ac:dyDescent="0.3">
      <c r="A125" s="3" t="s">
        <v>43</v>
      </c>
      <c r="B125" s="3"/>
      <c r="C125" s="3"/>
      <c r="E125" s="77">
        <f>C65-D122</f>
        <v>105.51439999999997</v>
      </c>
      <c r="F125" s="62" t="s">
        <v>1</v>
      </c>
      <c r="G125" s="3"/>
    </row>
    <row r="126" spans="1:7" ht="18.75" x14ac:dyDescent="0.3">
      <c r="A126" s="3" t="s">
        <v>44</v>
      </c>
      <c r="B126" s="3"/>
      <c r="C126" s="3"/>
      <c r="E126" s="77">
        <f>E125-D76</f>
        <v>101.01419093636841</v>
      </c>
      <c r="F126" s="62" t="s">
        <v>1</v>
      </c>
      <c r="G126" s="3"/>
    </row>
    <row r="127" spans="1:7" ht="18.75" x14ac:dyDescent="0.3">
      <c r="A127" s="3" t="s">
        <v>45</v>
      </c>
      <c r="B127" s="3"/>
      <c r="C127" s="3"/>
      <c r="E127" s="77">
        <f>C66-D122</f>
        <v>108.75439999999998</v>
      </c>
      <c r="F127" s="62" t="s">
        <v>1</v>
      </c>
      <c r="G127" s="3"/>
    </row>
    <row r="128" spans="1:7" ht="18.75" x14ac:dyDescent="0.3">
      <c r="A128" s="3" t="s">
        <v>46</v>
      </c>
      <c r="B128" s="5"/>
      <c r="D128" s="3"/>
      <c r="E128" s="77">
        <f>E127-D76</f>
        <v>104.25419093636842</v>
      </c>
      <c r="F128" t="s">
        <v>11</v>
      </c>
      <c r="G128" s="3"/>
    </row>
    <row r="129" spans="1:7" x14ac:dyDescent="0.25">
      <c r="A129" s="3" t="s">
        <v>47</v>
      </c>
    </row>
    <row r="130" spans="1:7" ht="18.75" x14ac:dyDescent="0.3">
      <c r="A130" s="3" t="s">
        <v>30</v>
      </c>
      <c r="E130" s="70">
        <f>(E123+E124)*D76*D71*C32/2</f>
        <v>33562.010346888979</v>
      </c>
      <c r="F130" s="9" t="s">
        <v>5</v>
      </c>
    </row>
    <row r="131" spans="1:7" ht="18.75" x14ac:dyDescent="0.3">
      <c r="A131" s="3" t="s">
        <v>31</v>
      </c>
      <c r="E131" s="70">
        <f>(E125+E126)*D76*D71*C32/2</f>
        <v>34191.105822416692</v>
      </c>
      <c r="F131" s="9" t="s">
        <v>5</v>
      </c>
    </row>
    <row r="132" spans="1:7" ht="18.75" x14ac:dyDescent="0.3">
      <c r="A132" s="3" t="s">
        <v>322</v>
      </c>
      <c r="E132" s="70">
        <f>(E127+E128)*D76*D71*C32/2</f>
        <v>35263.879159632372</v>
      </c>
      <c r="F132" s="9" t="s">
        <v>5</v>
      </c>
    </row>
    <row r="133" spans="1:7" x14ac:dyDescent="0.25">
      <c r="A133" s="3" t="s">
        <v>319</v>
      </c>
      <c r="F133" s="9"/>
    </row>
    <row r="134" spans="1:7" ht="19.5" x14ac:dyDescent="0.3">
      <c r="A134" s="3" t="s">
        <v>21</v>
      </c>
      <c r="E134" s="94">
        <f>E78-D71*D76</f>
        <v>10.546504699066261</v>
      </c>
      <c r="F134" s="62" t="s">
        <v>17</v>
      </c>
    </row>
    <row r="135" spans="1:7" ht="18.75" x14ac:dyDescent="0.3">
      <c r="A135" s="3" t="s">
        <v>22</v>
      </c>
      <c r="F135" s="70">
        <f>D75/3</f>
        <v>0.66659697878948176</v>
      </c>
      <c r="G135" t="s">
        <v>11</v>
      </c>
    </row>
    <row r="136" spans="1:7" ht="18.75" x14ac:dyDescent="0.3">
      <c r="A136" s="3" t="s">
        <v>108</v>
      </c>
      <c r="F136" s="70">
        <f>E124-F135</f>
        <v>98.447593957578945</v>
      </c>
      <c r="G136" t="s">
        <v>11</v>
      </c>
    </row>
    <row r="137" spans="1:7" ht="18.75" x14ac:dyDescent="0.3">
      <c r="A137" s="3" t="s">
        <v>205</v>
      </c>
      <c r="F137" s="70">
        <f>E126-F135</f>
        <v>100.34759395757892</v>
      </c>
      <c r="G137" t="s">
        <v>11</v>
      </c>
    </row>
    <row r="138" spans="1:7" ht="18.75" x14ac:dyDescent="0.3">
      <c r="A138" s="3" t="s">
        <v>206</v>
      </c>
      <c r="F138" s="70">
        <f>E128-F135</f>
        <v>103.58759395757893</v>
      </c>
      <c r="G138" t="s">
        <v>11</v>
      </c>
    </row>
    <row r="139" spans="1:7" ht="18.75" x14ac:dyDescent="0.3">
      <c r="A139" s="3" t="s">
        <v>32</v>
      </c>
      <c r="E139" s="69">
        <f>E134*F136*C32</f>
        <v>10185.507300519517</v>
      </c>
      <c r="F139" s="62" t="s">
        <v>5</v>
      </c>
    </row>
    <row r="140" spans="1:7" ht="18.75" x14ac:dyDescent="0.3">
      <c r="A140" s="3" t="s">
        <v>33</v>
      </c>
      <c r="E140" s="70">
        <f>E134*F137*C32</f>
        <v>10382.083601605409</v>
      </c>
      <c r="F140" s="62" t="s">
        <v>5</v>
      </c>
    </row>
    <row r="141" spans="1:7" ht="18.75" x14ac:dyDescent="0.3">
      <c r="A141" s="3" t="s">
        <v>34</v>
      </c>
      <c r="E141" s="70">
        <f>E134*F138*C32</f>
        <v>10717.297925562412</v>
      </c>
      <c r="F141" s="62" t="s">
        <v>5</v>
      </c>
    </row>
    <row r="142" spans="1:7" x14ac:dyDescent="0.25">
      <c r="A142" s="3" t="s">
        <v>326</v>
      </c>
      <c r="E142" s="70"/>
      <c r="F142" s="62"/>
    </row>
    <row r="143" spans="1:7" ht="18.75" x14ac:dyDescent="0.3">
      <c r="A143" s="3" t="s">
        <v>35</v>
      </c>
      <c r="E143" s="70">
        <f>E139+E130</f>
        <v>43747.517647408495</v>
      </c>
      <c r="F143" s="62" t="s">
        <v>5</v>
      </c>
    </row>
    <row r="144" spans="1:7" ht="18.75" x14ac:dyDescent="0.3">
      <c r="A144" s="3" t="s">
        <v>73</v>
      </c>
      <c r="E144" s="70">
        <f>E140+E131</f>
        <v>44573.189424022101</v>
      </c>
      <c r="F144" s="62" t="s">
        <v>5</v>
      </c>
    </row>
    <row r="145" spans="1:8" ht="18.75" x14ac:dyDescent="0.3">
      <c r="A145" s="3" t="s">
        <v>36</v>
      </c>
      <c r="E145" s="70">
        <f>E141+E132</f>
        <v>45981.17708519478</v>
      </c>
      <c r="F145" s="62" t="s">
        <v>5</v>
      </c>
    </row>
    <row r="146" spans="1:8" x14ac:dyDescent="0.25">
      <c r="A146" s="7" t="s">
        <v>235</v>
      </c>
      <c r="B146" s="7"/>
      <c r="C146" s="7"/>
      <c r="H146" s="151" t="s">
        <v>353</v>
      </c>
    </row>
    <row r="147" spans="1:8" ht="18.75" x14ac:dyDescent="0.3">
      <c r="A147" s="3" t="s">
        <v>343</v>
      </c>
      <c r="B147" s="5"/>
      <c r="D147" s="70">
        <f>D122-D82</f>
        <v>365.88560000000001</v>
      </c>
      <c r="E147" t="s">
        <v>11</v>
      </c>
      <c r="F147" s="3"/>
      <c r="H147" s="152"/>
    </row>
    <row r="148" spans="1:8" ht="18.75" x14ac:dyDescent="0.3">
      <c r="A148" s="3" t="s">
        <v>41</v>
      </c>
      <c r="B148" s="5"/>
      <c r="D148" s="70"/>
      <c r="E148" s="70">
        <f>C64-D147</f>
        <v>104.11439999999999</v>
      </c>
      <c r="F148" s="62" t="s">
        <v>1</v>
      </c>
      <c r="H148" s="152"/>
    </row>
    <row r="149" spans="1:8" ht="18.75" x14ac:dyDescent="0.3">
      <c r="A149" s="3" t="s">
        <v>42</v>
      </c>
      <c r="B149" s="5"/>
      <c r="D149" s="70"/>
      <c r="E149" s="70">
        <f>E148-D88</f>
        <v>98.937740872336406</v>
      </c>
      <c r="F149" s="62" t="s">
        <v>1</v>
      </c>
      <c r="H149" s="152"/>
    </row>
    <row r="150" spans="1:8" ht="18.75" x14ac:dyDescent="0.3">
      <c r="A150" s="3" t="s">
        <v>43</v>
      </c>
      <c r="B150" s="3"/>
      <c r="C150" s="3"/>
      <c r="E150" s="70">
        <f>C65-D147</f>
        <v>106.01439999999997</v>
      </c>
      <c r="F150" s="62" t="s">
        <v>1</v>
      </c>
      <c r="H150" s="152"/>
    </row>
    <row r="151" spans="1:8" ht="18.75" x14ac:dyDescent="0.3">
      <c r="A151" s="3" t="s">
        <v>44</v>
      </c>
      <c r="B151" s="3"/>
      <c r="C151" s="3"/>
      <c r="E151" s="70">
        <f>E150-D88</f>
        <v>100.83774087233638</v>
      </c>
      <c r="F151" s="62" t="s">
        <v>1</v>
      </c>
      <c r="G151" s="70"/>
      <c r="H151" s="152"/>
    </row>
    <row r="152" spans="1:8" ht="18.75" x14ac:dyDescent="0.3">
      <c r="A152" s="3" t="s">
        <v>45</v>
      </c>
      <c r="B152" s="3"/>
      <c r="C152" s="3"/>
      <c r="E152" s="70">
        <f>C66-D147</f>
        <v>109.25439999999998</v>
      </c>
      <c r="F152" s="62" t="s">
        <v>1</v>
      </c>
      <c r="H152" s="152"/>
    </row>
    <row r="153" spans="1:8" ht="18.75" x14ac:dyDescent="0.3">
      <c r="A153" s="3" t="s">
        <v>46</v>
      </c>
      <c r="B153" s="5"/>
      <c r="D153" s="3"/>
      <c r="E153" s="70">
        <f>E152-D88</f>
        <v>104.07774087233639</v>
      </c>
      <c r="F153" t="s">
        <v>11</v>
      </c>
      <c r="H153" s="152"/>
    </row>
    <row r="154" spans="1:8" x14ac:dyDescent="0.25">
      <c r="A154" s="3" t="s">
        <v>47</v>
      </c>
      <c r="H154" s="152"/>
    </row>
    <row r="155" spans="1:8" ht="18.75" x14ac:dyDescent="0.3">
      <c r="A155" s="3" t="s">
        <v>30</v>
      </c>
      <c r="E155" s="70">
        <f>(E148+E149)*D88*D83*C32/2</f>
        <v>44855.469386781595</v>
      </c>
      <c r="F155" s="9" t="s">
        <v>5</v>
      </c>
      <c r="H155" s="152"/>
    </row>
    <row r="156" spans="1:8" ht="18.75" x14ac:dyDescent="0.3">
      <c r="A156" s="3" t="s">
        <v>31</v>
      </c>
      <c r="E156" s="70">
        <f>(E150+E151)*D88*D83*C32/2</f>
        <v>45694.91280726211</v>
      </c>
      <c r="F156" s="9" t="s">
        <v>5</v>
      </c>
      <c r="H156" s="152"/>
    </row>
    <row r="157" spans="1:8" ht="18.75" x14ac:dyDescent="0.3">
      <c r="A157" s="3" t="s">
        <v>322</v>
      </c>
      <c r="E157" s="70">
        <f>(E152+E153)*D88*D83*C32/2</f>
        <v>47126.384745344723</v>
      </c>
      <c r="F157" s="9" t="s">
        <v>5</v>
      </c>
      <c r="H157" s="152"/>
    </row>
    <row r="158" spans="1:8" x14ac:dyDescent="0.25">
      <c r="A158" s="3" t="s">
        <v>319</v>
      </c>
      <c r="F158" s="9"/>
      <c r="H158" s="152"/>
    </row>
    <row r="159" spans="1:8" ht="19.5" x14ac:dyDescent="0.3">
      <c r="A159" s="3" t="s">
        <v>21</v>
      </c>
      <c r="E159" s="94">
        <f>F90-D83*D88</f>
        <v>14.892629334742544</v>
      </c>
      <c r="F159" s="62" t="s">
        <v>17</v>
      </c>
      <c r="H159" s="152"/>
    </row>
    <row r="160" spans="1:8" ht="18.75" x14ac:dyDescent="0.3">
      <c r="A160" s="3" t="s">
        <v>22</v>
      </c>
      <c r="F160" s="70">
        <f>E87/3</f>
        <v>0.80778029077880475</v>
      </c>
      <c r="G160" t="s">
        <v>11</v>
      </c>
      <c r="H160" s="152"/>
    </row>
    <row r="161" spans="1:8" ht="18.75" x14ac:dyDescent="0.3">
      <c r="A161" s="3" t="s">
        <v>108</v>
      </c>
      <c r="F161" s="70">
        <f>E149-F160</f>
        <v>98.129960581557597</v>
      </c>
      <c r="G161" t="s">
        <v>11</v>
      </c>
      <c r="H161" s="152"/>
    </row>
    <row r="162" spans="1:8" ht="18.75" x14ac:dyDescent="0.3">
      <c r="A162" s="3" t="s">
        <v>205</v>
      </c>
      <c r="F162" s="70">
        <f>E151-F160</f>
        <v>100.02996058155757</v>
      </c>
      <c r="G162" t="s">
        <v>11</v>
      </c>
      <c r="H162" s="152"/>
    </row>
    <row r="163" spans="1:8" ht="18.75" x14ac:dyDescent="0.3">
      <c r="A163" s="3" t="s">
        <v>206</v>
      </c>
      <c r="F163" s="70">
        <f>E153-F160</f>
        <v>103.26996058155758</v>
      </c>
      <c r="G163" t="s">
        <v>11</v>
      </c>
      <c r="H163" s="152"/>
    </row>
    <row r="164" spans="1:8" ht="18.75" x14ac:dyDescent="0.3">
      <c r="A164" s="3" t="s">
        <v>32</v>
      </c>
      <c r="E164" s="70">
        <f>E159*F161*C32</f>
        <v>14336.462801121275</v>
      </c>
      <c r="F164" s="62" t="s">
        <v>5</v>
      </c>
      <c r="H164" s="152"/>
    </row>
    <row r="165" spans="1:8" ht="18.75" x14ac:dyDescent="0.3">
      <c r="A165" s="3" t="s">
        <v>33</v>
      </c>
      <c r="E165" s="70">
        <f>E159*F162*C32</f>
        <v>14614.04651929154</v>
      </c>
      <c r="F165" s="62" t="s">
        <v>5</v>
      </c>
      <c r="H165" s="152"/>
    </row>
    <row r="166" spans="1:8" ht="18.75" x14ac:dyDescent="0.3">
      <c r="A166" s="3" t="s">
        <v>34</v>
      </c>
      <c r="E166" s="70">
        <f>E159*F163*C32</f>
        <v>15087.399807118732</v>
      </c>
      <c r="F166" s="62" t="s">
        <v>5</v>
      </c>
      <c r="H166" s="152"/>
    </row>
    <row r="167" spans="1:8" x14ac:dyDescent="0.25">
      <c r="A167" s="3" t="s">
        <v>326</v>
      </c>
      <c r="E167" s="70"/>
      <c r="F167" s="62"/>
      <c r="H167" s="152"/>
    </row>
    <row r="168" spans="1:8" ht="18.75" x14ac:dyDescent="0.3">
      <c r="A168" s="3" t="s">
        <v>35</v>
      </c>
      <c r="E168" s="70">
        <f>E164+E155</f>
        <v>59191.932187902872</v>
      </c>
      <c r="F168" s="62" t="s">
        <v>5</v>
      </c>
      <c r="H168" s="152"/>
    </row>
    <row r="169" spans="1:8" ht="18.75" x14ac:dyDescent="0.3">
      <c r="A169" s="3" t="s">
        <v>73</v>
      </c>
      <c r="E169" s="70">
        <f>E165+E156</f>
        <v>60308.959326553653</v>
      </c>
      <c r="F169" s="62" t="s">
        <v>5</v>
      </c>
      <c r="H169" s="152"/>
    </row>
    <row r="170" spans="1:8" ht="18.75" x14ac:dyDescent="0.3">
      <c r="A170" s="3" t="s">
        <v>36</v>
      </c>
      <c r="E170" s="70">
        <f>E166+E157</f>
        <v>62213.784552463454</v>
      </c>
      <c r="F170" s="62" t="s">
        <v>5</v>
      </c>
      <c r="H170" s="152"/>
    </row>
    <row r="171" spans="1:8" x14ac:dyDescent="0.25">
      <c r="A171" s="9"/>
      <c r="B171" s="9"/>
      <c r="C171" s="9"/>
    </row>
    <row r="172" spans="1:8" x14ac:dyDescent="0.25">
      <c r="A172" s="1" t="s">
        <v>194</v>
      </c>
      <c r="E172" s="3"/>
      <c r="F172" s="9"/>
    </row>
    <row r="173" spans="1:8" x14ac:dyDescent="0.25">
      <c r="A173" s="7" t="s">
        <v>236</v>
      </c>
      <c r="E173" s="3"/>
      <c r="F173" s="9"/>
    </row>
    <row r="174" spans="1:8" x14ac:dyDescent="0.25">
      <c r="A174" t="s">
        <v>374</v>
      </c>
      <c r="F174" s="62"/>
      <c r="G174" s="3"/>
    </row>
    <row r="175" spans="1:8" ht="18.75" x14ac:dyDescent="0.35">
      <c r="B175" t="s">
        <v>375</v>
      </c>
      <c r="C175" s="77">
        <f>E144</f>
        <v>44573.189424022101</v>
      </c>
      <c r="D175" s="62" t="s">
        <v>13</v>
      </c>
    </row>
    <row r="176" spans="1:8" x14ac:dyDescent="0.25">
      <c r="B176" t="s">
        <v>54</v>
      </c>
      <c r="C176" s="70">
        <f>D116*D107*D117</f>
        <v>682.19031921506507</v>
      </c>
      <c r="D176" s="62" t="s">
        <v>6</v>
      </c>
      <c r="G176" s="3"/>
    </row>
    <row r="177" spans="1:7" x14ac:dyDescent="0.25">
      <c r="B177" t="s">
        <v>7</v>
      </c>
      <c r="C177" s="70">
        <f>(D71*D110+D77*D112+D76*2*D111)*D118*1000</f>
        <v>14685.298960993125</v>
      </c>
      <c r="D177" s="62" t="s">
        <v>6</v>
      </c>
      <c r="G177" s="3"/>
    </row>
    <row r="178" spans="1:7" ht="18.75" x14ac:dyDescent="0.35">
      <c r="A178" s="5"/>
      <c r="B178" s="21" t="s">
        <v>351</v>
      </c>
      <c r="E178" s="77">
        <f>E103*C175/(C176+C177)</f>
        <v>8.701458373182918</v>
      </c>
      <c r="F178" s="62" t="s">
        <v>1</v>
      </c>
    </row>
    <row r="179" spans="1:7" ht="18.75" x14ac:dyDescent="0.35">
      <c r="B179" s="21" t="s">
        <v>203</v>
      </c>
      <c r="E179" s="77">
        <f>C175/(C176/F104+C177/F105)</f>
        <v>12.530298636314548</v>
      </c>
      <c r="F179" s="62" t="s">
        <v>11</v>
      </c>
    </row>
    <row r="180" spans="1:7" x14ac:dyDescent="0.25">
      <c r="A180" t="s">
        <v>197</v>
      </c>
    </row>
    <row r="181" spans="1:7" ht="18.75" x14ac:dyDescent="0.35">
      <c r="B181" t="s">
        <v>376</v>
      </c>
      <c r="C181" s="77">
        <f>E145</f>
        <v>45981.17708519478</v>
      </c>
      <c r="D181" s="62" t="s">
        <v>13</v>
      </c>
      <c r="F181" s="62"/>
    </row>
    <row r="182" spans="1:7" x14ac:dyDescent="0.25">
      <c r="B182" t="s">
        <v>54</v>
      </c>
      <c r="C182" s="70">
        <f>C176</f>
        <v>682.19031921506507</v>
      </c>
      <c r="D182" s="62" t="s">
        <v>6</v>
      </c>
    </row>
    <row r="183" spans="1:7" x14ac:dyDescent="0.25">
      <c r="B183" t="s">
        <v>7</v>
      </c>
      <c r="C183" s="70">
        <f>C177</f>
        <v>14685.298960993125</v>
      </c>
      <c r="D183" s="62" t="s">
        <v>6</v>
      </c>
    </row>
    <row r="184" spans="1:7" ht="18.75" x14ac:dyDescent="0.35">
      <c r="B184" s="21" t="s">
        <v>202</v>
      </c>
      <c r="E184" s="77">
        <f>E103*C181/(C182+C183)</f>
        <v>8.9763219443557372</v>
      </c>
      <c r="F184" s="62" t="s">
        <v>1</v>
      </c>
    </row>
    <row r="185" spans="1:7" ht="18.75" x14ac:dyDescent="0.35">
      <c r="B185" s="21" t="s">
        <v>350</v>
      </c>
      <c r="E185" s="77">
        <f>C181/(C182/F104+C183/F105)</f>
        <v>12.926108451558138</v>
      </c>
      <c r="F185" s="62" t="s">
        <v>11</v>
      </c>
    </row>
    <row r="186" spans="1:7" x14ac:dyDescent="0.25">
      <c r="A186" s="7" t="s">
        <v>237</v>
      </c>
      <c r="B186" s="21"/>
      <c r="E186" s="77"/>
      <c r="F186" s="62"/>
    </row>
    <row r="187" spans="1:7" x14ac:dyDescent="0.25">
      <c r="A187" t="s">
        <v>374</v>
      </c>
      <c r="F187" s="62"/>
    </row>
    <row r="188" spans="1:7" ht="18.75" x14ac:dyDescent="0.35">
      <c r="B188" t="s">
        <v>375</v>
      </c>
      <c r="C188" s="77">
        <f>E169</f>
        <v>60308.959326553653</v>
      </c>
      <c r="D188" s="62" t="s">
        <v>13</v>
      </c>
    </row>
    <row r="189" spans="1:7" x14ac:dyDescent="0.25">
      <c r="B189" t="s">
        <v>54</v>
      </c>
      <c r="C189" s="70">
        <f>E116*D107*E117</f>
        <v>461.45764083970118</v>
      </c>
      <c r="D189" s="62" t="s">
        <v>6</v>
      </c>
    </row>
    <row r="190" spans="1:7" x14ac:dyDescent="0.25">
      <c r="B190" t="s">
        <v>7</v>
      </c>
      <c r="C190" s="70">
        <f>(D83*D110+D89*D112+D88*2*D111)*E118*1000</f>
        <v>7714.8284329813296</v>
      </c>
      <c r="D190" s="62" t="s">
        <v>6</v>
      </c>
    </row>
    <row r="191" spans="1:7" ht="18.75" x14ac:dyDescent="0.35">
      <c r="A191" s="5"/>
      <c r="B191" s="21" t="s">
        <v>351</v>
      </c>
      <c r="E191" s="77">
        <f>E103*C188/(C189+C190)</f>
        <v>22.12824702390926</v>
      </c>
      <c r="F191" s="62" t="s">
        <v>1</v>
      </c>
      <c r="G191" s="70"/>
    </row>
    <row r="192" spans="1:7" ht="18.75" x14ac:dyDescent="0.35">
      <c r="B192" s="21" t="s">
        <v>203</v>
      </c>
      <c r="E192" s="77">
        <f>C188/(C189/F104+C190/F105)</f>
        <v>30.731108458858305</v>
      </c>
      <c r="F192" s="62" t="s">
        <v>11</v>
      </c>
      <c r="G192" s="70"/>
    </row>
    <row r="193" spans="1:7" x14ac:dyDescent="0.25">
      <c r="A193" t="s">
        <v>197</v>
      </c>
    </row>
    <row r="194" spans="1:7" ht="18.75" x14ac:dyDescent="0.35">
      <c r="B194" t="s">
        <v>376</v>
      </c>
      <c r="C194" s="77">
        <f>E170</f>
        <v>62213.784552463454</v>
      </c>
      <c r="D194" s="62" t="s">
        <v>13</v>
      </c>
      <c r="F194" s="62"/>
    </row>
    <row r="195" spans="1:7" x14ac:dyDescent="0.25">
      <c r="B195" t="s">
        <v>54</v>
      </c>
      <c r="C195" s="70">
        <f>C189</f>
        <v>461.45764083970118</v>
      </c>
      <c r="D195" s="62" t="s">
        <v>6</v>
      </c>
    </row>
    <row r="196" spans="1:7" x14ac:dyDescent="0.25">
      <c r="B196" t="s">
        <v>7</v>
      </c>
      <c r="C196" s="70">
        <f>C190</f>
        <v>7714.8284329813296</v>
      </c>
      <c r="D196" s="62" t="s">
        <v>6</v>
      </c>
    </row>
    <row r="197" spans="1:7" ht="18.75" x14ac:dyDescent="0.35">
      <c r="B197" s="21" t="s">
        <v>202</v>
      </c>
      <c r="E197" s="77">
        <f>E103*C194/(C195+C196)</f>
        <v>22.827155504622297</v>
      </c>
      <c r="F197" s="62" t="s">
        <v>1</v>
      </c>
    </row>
    <row r="198" spans="1:7" ht="18.75" x14ac:dyDescent="0.35">
      <c r="B198" s="21" t="s">
        <v>350</v>
      </c>
      <c r="E198" s="77">
        <f>C194/(C195/F104+C196/F105)</f>
        <v>31.701733574367964</v>
      </c>
      <c r="F198" s="62" t="s">
        <v>11</v>
      </c>
    </row>
    <row r="199" spans="1:7" x14ac:dyDescent="0.25">
      <c r="A199" s="3"/>
      <c r="B199" s="3"/>
      <c r="C199" s="3"/>
      <c r="E199" s="3"/>
      <c r="F199" s="4"/>
    </row>
    <row r="200" spans="1:7" x14ac:dyDescent="0.25">
      <c r="A200" s="1" t="s">
        <v>55</v>
      </c>
      <c r="B200" s="3"/>
      <c r="C200" s="3"/>
      <c r="E200" s="11"/>
      <c r="F200" s="4"/>
      <c r="G200" s="3"/>
    </row>
    <row r="201" spans="1:7" x14ac:dyDescent="0.25">
      <c r="A201" t="s">
        <v>195</v>
      </c>
      <c r="E201" s="3"/>
      <c r="G201" s="3"/>
    </row>
    <row r="202" spans="1:7" x14ac:dyDescent="0.25">
      <c r="A202" s="3" t="s">
        <v>430</v>
      </c>
      <c r="E202" s="3"/>
      <c r="G202" s="3"/>
    </row>
    <row r="203" spans="1:7" ht="16.5" thickBot="1" x14ac:dyDescent="0.3">
      <c r="B203" t="s">
        <v>431</v>
      </c>
      <c r="C203" s="22"/>
      <c r="D203" s="22"/>
      <c r="E203" s="23"/>
      <c r="F203" s="23"/>
      <c r="G203" s="3"/>
    </row>
    <row r="204" spans="1:7" ht="44.25" x14ac:dyDescent="0.25">
      <c r="B204" s="51" t="s">
        <v>244</v>
      </c>
      <c r="C204" s="52" t="s">
        <v>245</v>
      </c>
      <c r="D204" s="47" t="s">
        <v>241</v>
      </c>
      <c r="E204" s="48" t="s">
        <v>242</v>
      </c>
      <c r="F204" s="23"/>
      <c r="G204" s="3"/>
    </row>
    <row r="205" spans="1:7" x14ac:dyDescent="0.25">
      <c r="B205" s="84" t="s">
        <v>248</v>
      </c>
      <c r="C205" s="85" t="s">
        <v>11</v>
      </c>
      <c r="D205" s="109">
        <f>(E78/PI())^0.5*2</f>
        <v>7.5101303508674926</v>
      </c>
      <c r="E205" s="110">
        <f>(F90/PI())^0.5*2</f>
        <v>8.7352556035521971</v>
      </c>
      <c r="G205" s="3"/>
    </row>
    <row r="206" spans="1:7" x14ac:dyDescent="0.25">
      <c r="B206" s="53" t="s">
        <v>246</v>
      </c>
      <c r="C206" s="49" t="s">
        <v>11</v>
      </c>
      <c r="D206" s="109">
        <f>2*D205</f>
        <v>15.020260701734985</v>
      </c>
      <c r="E206" s="110">
        <f>2*E205</f>
        <v>17.470511207104394</v>
      </c>
      <c r="G206" s="3"/>
    </row>
    <row r="207" spans="1:7" ht="16.5" thickBot="1" x14ac:dyDescent="0.3">
      <c r="B207" s="54" t="s">
        <v>247</v>
      </c>
      <c r="C207" s="50" t="s">
        <v>11</v>
      </c>
      <c r="D207" s="111">
        <f>3*D205</f>
        <v>22.530391052602479</v>
      </c>
      <c r="E207" s="112">
        <f>3*E205</f>
        <v>26.205766810656591</v>
      </c>
      <c r="G207" s="3"/>
    </row>
    <row r="208" spans="1:7" x14ac:dyDescent="0.25">
      <c r="A208" s="3" t="s">
        <v>57</v>
      </c>
      <c r="B208" s="3"/>
      <c r="C208" s="3"/>
      <c r="D208" s="97">
        <v>32</v>
      </c>
      <c r="E208" s="62" t="s">
        <v>1</v>
      </c>
      <c r="G208" s="3"/>
    </row>
    <row r="209" spans="1:7" x14ac:dyDescent="0.25">
      <c r="A209" s="3" t="s">
        <v>58</v>
      </c>
      <c r="B209" s="3"/>
      <c r="C209" s="3"/>
      <c r="D209" s="3"/>
      <c r="E209" s="4"/>
      <c r="F209" s="4"/>
      <c r="G209" s="3"/>
    </row>
    <row r="210" spans="1:7" x14ac:dyDescent="0.25">
      <c r="A210" s="3" t="s">
        <v>158</v>
      </c>
      <c r="B210" s="3"/>
      <c r="C210" s="3"/>
      <c r="D210" s="3"/>
      <c r="E210" s="4"/>
      <c r="F210" s="4"/>
      <c r="G210" s="3"/>
    </row>
    <row r="211" spans="1:7" x14ac:dyDescent="0.25">
      <c r="A211" s="3" t="s">
        <v>148</v>
      </c>
      <c r="B211" s="3"/>
      <c r="C211" s="3"/>
      <c r="D211" s="6" t="s">
        <v>2</v>
      </c>
      <c r="E211" s="3"/>
      <c r="F211" s="3"/>
      <c r="G211" s="3"/>
    </row>
    <row r="212" spans="1:7" ht="18.75" x14ac:dyDescent="0.3">
      <c r="A212" s="127" t="s">
        <v>149</v>
      </c>
      <c r="B212" s="127"/>
      <c r="C212" s="127"/>
      <c r="E212" s="66">
        <v>3</v>
      </c>
      <c r="F212" s="62" t="s">
        <v>1</v>
      </c>
      <c r="G212" s="3"/>
    </row>
    <row r="213" spans="1:7" ht="18.75" x14ac:dyDescent="0.3">
      <c r="A213" s="127" t="s">
        <v>150</v>
      </c>
      <c r="B213" s="127"/>
      <c r="C213" s="127"/>
      <c r="E213" s="66">
        <v>4</v>
      </c>
      <c r="F213" s="62" t="s">
        <v>1</v>
      </c>
      <c r="G213" s="3"/>
    </row>
    <row r="214" spans="1:7" ht="18.75" x14ac:dyDescent="0.3">
      <c r="A214" s="9" t="s">
        <v>151</v>
      </c>
      <c r="B214" s="3"/>
      <c r="C214" s="60"/>
      <c r="E214" s="67">
        <v>120</v>
      </c>
      <c r="F214" t="s">
        <v>3</v>
      </c>
      <c r="G214" s="3"/>
    </row>
    <row r="215" spans="1:7" ht="18.75" x14ac:dyDescent="0.3">
      <c r="A215" s="25" t="s">
        <v>153</v>
      </c>
      <c r="B215" s="3"/>
      <c r="E215" s="69">
        <f>E212/(2*SIN(E214/2/180*PI()))</f>
        <v>1.7320508075688774</v>
      </c>
      <c r="F215" s="62" t="s">
        <v>1</v>
      </c>
      <c r="G215" s="3"/>
    </row>
    <row r="216" spans="1:7" ht="19.5" x14ac:dyDescent="0.35">
      <c r="A216" s="25" t="s">
        <v>152</v>
      </c>
      <c r="B216" s="3"/>
      <c r="E216" s="69">
        <f>E215-E215*COS((E214/180*PI()/2))</f>
        <v>0.86602540378443849</v>
      </c>
      <c r="F216" s="62" t="s">
        <v>1</v>
      </c>
      <c r="G216" s="3"/>
    </row>
    <row r="217" spans="1:7" ht="19.5" x14ac:dyDescent="0.35">
      <c r="A217" s="23" t="s">
        <v>154</v>
      </c>
      <c r="B217" s="3"/>
      <c r="E217" s="69">
        <f>E213-E216</f>
        <v>3.1339745962155616</v>
      </c>
      <c r="F217" s="62" t="s">
        <v>1</v>
      </c>
      <c r="G217" s="3"/>
    </row>
    <row r="218" spans="1:7" ht="18.75" x14ac:dyDescent="0.3">
      <c r="A218" s="23" t="s">
        <v>155</v>
      </c>
      <c r="B218" s="3"/>
      <c r="E218" s="70">
        <f>2*PI()*E214*E215/360</f>
        <v>3.6275987284684352</v>
      </c>
      <c r="F218" s="62" t="s">
        <v>1</v>
      </c>
      <c r="G218" s="3"/>
    </row>
    <row r="219" spans="1:7" ht="19.5" x14ac:dyDescent="0.3">
      <c r="A219" s="3" t="s">
        <v>156</v>
      </c>
      <c r="B219" s="3"/>
      <c r="F219" s="69">
        <f>E212*E217+PI()*E215^2*(E214/360)-E212*(E215-E216)/2</f>
        <v>11.244478336559819</v>
      </c>
      <c r="G219" s="62" t="s">
        <v>18</v>
      </c>
    </row>
    <row r="220" spans="1:7" ht="18.75" x14ac:dyDescent="0.3">
      <c r="A220" s="3" t="s">
        <v>157</v>
      </c>
      <c r="B220" s="3"/>
      <c r="C220" s="19">
        <v>0</v>
      </c>
      <c r="D220" s="23" t="s">
        <v>293</v>
      </c>
      <c r="E220" s="4"/>
      <c r="F220" s="4"/>
      <c r="G220" s="3"/>
    </row>
    <row r="221" spans="1:7" x14ac:dyDescent="0.25">
      <c r="F221" s="62"/>
    </row>
    <row r="222" spans="1:7" s="67" customFormat="1" x14ac:dyDescent="0.25">
      <c r="A222" s="59" t="s">
        <v>16</v>
      </c>
      <c r="F222" s="78"/>
    </row>
    <row r="223" spans="1:7" x14ac:dyDescent="0.25">
      <c r="A223" s="7" t="s">
        <v>87</v>
      </c>
      <c r="B223" s="3"/>
      <c r="C223" s="3"/>
      <c r="D223" s="3"/>
      <c r="E223" s="3"/>
      <c r="F223" s="3"/>
      <c r="G223" s="3"/>
    </row>
    <row r="224" spans="1:7" ht="18.75" x14ac:dyDescent="0.35">
      <c r="A224" s="3" t="s">
        <v>377</v>
      </c>
      <c r="B224" s="3"/>
      <c r="C224" s="60" t="str">
        <f>IF(C27=1,"1.1",IF(C27&gt;3,"1.0","1.05"))</f>
        <v>1.1</v>
      </c>
      <c r="D224" s="3"/>
      <c r="E224" s="3"/>
      <c r="F224" s="3"/>
      <c r="G224" s="3"/>
    </row>
    <row r="225" spans="1:7" x14ac:dyDescent="0.25">
      <c r="A225" s="3" t="s">
        <v>378</v>
      </c>
      <c r="B225" s="3"/>
      <c r="C225">
        <v>1</v>
      </c>
      <c r="D225" s="3" t="s">
        <v>165</v>
      </c>
      <c r="E225">
        <v>0.85</v>
      </c>
      <c r="F225" s="3" t="s">
        <v>166</v>
      </c>
      <c r="G225" s="3"/>
    </row>
    <row r="226" spans="1:7" x14ac:dyDescent="0.25">
      <c r="A226" s="3" t="s">
        <v>379</v>
      </c>
      <c r="B226" s="3"/>
      <c r="C226" s="60"/>
      <c r="D226" s="3"/>
      <c r="E226" s="3"/>
      <c r="F226" s="3"/>
      <c r="G226" s="3"/>
    </row>
    <row r="227" spans="1:7" x14ac:dyDescent="0.25">
      <c r="A227" s="7" t="s">
        <v>161</v>
      </c>
      <c r="B227" s="3"/>
      <c r="C227" s="3"/>
      <c r="D227" s="3"/>
      <c r="E227" s="3"/>
      <c r="F227" s="3"/>
      <c r="G227" s="3"/>
    </row>
    <row r="228" spans="1:7" x14ac:dyDescent="0.25">
      <c r="A228" s="3" t="s">
        <v>380</v>
      </c>
      <c r="B228" s="3"/>
      <c r="C228" s="3"/>
      <c r="D228" s="3"/>
      <c r="E228" s="3"/>
      <c r="F228" s="3"/>
      <c r="G228" s="3"/>
    </row>
    <row r="229" spans="1:7" ht="18.75" x14ac:dyDescent="0.35">
      <c r="A229" s="21" t="s">
        <v>162</v>
      </c>
      <c r="B229" s="3"/>
      <c r="C229" s="3"/>
      <c r="D229" s="21">
        <v>1</v>
      </c>
      <c r="F229" s="3"/>
      <c r="G229" s="3"/>
    </row>
    <row r="230" spans="1:7" ht="18.75" x14ac:dyDescent="0.35">
      <c r="A230" t="s">
        <v>381</v>
      </c>
      <c r="B230" s="3"/>
      <c r="C230" s="3"/>
      <c r="D230" s="21">
        <f>IF(D63="是",1.1,1)</f>
        <v>1</v>
      </c>
      <c r="E230" s="30"/>
      <c r="F230" s="3"/>
      <c r="G230" s="3"/>
    </row>
    <row r="231" spans="1:7" ht="18.75" x14ac:dyDescent="0.35">
      <c r="A231" s="3" t="s">
        <v>382</v>
      </c>
      <c r="D231">
        <v>1.5</v>
      </c>
      <c r="G231" s="3"/>
    </row>
    <row r="232" spans="1:7" ht="18.75" x14ac:dyDescent="0.3">
      <c r="A232" s="23" t="s">
        <v>289</v>
      </c>
      <c r="B232" s="3"/>
      <c r="C232" s="3"/>
      <c r="D232" s="3"/>
      <c r="E232" s="3"/>
      <c r="G232" s="62">
        <v>1.7</v>
      </c>
    </row>
    <row r="233" spans="1:7" ht="18.75" x14ac:dyDescent="0.3">
      <c r="A233" s="23" t="s">
        <v>290</v>
      </c>
      <c r="B233" s="3"/>
      <c r="C233" s="3"/>
      <c r="D233" s="3"/>
      <c r="E233" s="3"/>
      <c r="G233" s="62">
        <v>2</v>
      </c>
    </row>
    <row r="234" spans="1:7" ht="18.75" x14ac:dyDescent="0.3">
      <c r="A234" s="23" t="s">
        <v>291</v>
      </c>
      <c r="B234" s="3"/>
      <c r="C234" s="3"/>
      <c r="D234" s="3"/>
      <c r="E234" s="3"/>
      <c r="G234" s="62">
        <v>1.7</v>
      </c>
    </row>
    <row r="235" spans="1:7" ht="18.75" x14ac:dyDescent="0.3">
      <c r="A235" s="23" t="s">
        <v>292</v>
      </c>
      <c r="B235" s="3"/>
      <c r="C235" s="3"/>
      <c r="D235" s="3"/>
      <c r="E235" s="3"/>
      <c r="G235" s="62">
        <v>2</v>
      </c>
    </row>
    <row r="236" spans="1:7" x14ac:dyDescent="0.25">
      <c r="A236" s="7" t="s">
        <v>163</v>
      </c>
    </row>
    <row r="237" spans="1:7" x14ac:dyDescent="0.25">
      <c r="A237" s="3" t="s">
        <v>383</v>
      </c>
    </row>
    <row r="238" spans="1:7" ht="18.75" x14ac:dyDescent="0.35">
      <c r="A238" s="21" t="s">
        <v>164</v>
      </c>
      <c r="B238" s="3"/>
      <c r="C238" s="3"/>
      <c r="D238" s="3">
        <v>1</v>
      </c>
      <c r="E238" s="3"/>
      <c r="F238" s="3"/>
      <c r="G238" s="3"/>
    </row>
    <row r="239" spans="1:7" ht="18.75" x14ac:dyDescent="0.35">
      <c r="A239" t="s">
        <v>384</v>
      </c>
      <c r="B239" s="3"/>
      <c r="C239" s="3"/>
      <c r="D239" s="3">
        <v>1</v>
      </c>
      <c r="E239" s="3"/>
      <c r="F239" s="3"/>
      <c r="G239" s="3"/>
    </row>
    <row r="240" spans="1:7" ht="18.75" x14ac:dyDescent="0.35">
      <c r="A240" t="s">
        <v>385</v>
      </c>
      <c r="B240" s="3"/>
      <c r="C240" s="3"/>
      <c r="D240">
        <v>1</v>
      </c>
    </row>
    <row r="241" spans="1:9" ht="18.75" x14ac:dyDescent="0.35">
      <c r="A241" s="3" t="s">
        <v>386</v>
      </c>
      <c r="B241" s="3"/>
      <c r="C241" s="3"/>
      <c r="D241">
        <v>2.7</v>
      </c>
      <c r="E241" s="3"/>
      <c r="F241" s="3"/>
      <c r="G241" s="3"/>
      <c r="H241" s="1"/>
      <c r="I241" s="3"/>
    </row>
    <row r="242" spans="1:9" ht="18.75" x14ac:dyDescent="0.3">
      <c r="A242" s="23" t="s">
        <v>277</v>
      </c>
      <c r="B242" s="23"/>
      <c r="C242" s="3"/>
      <c r="E242" s="3"/>
      <c r="F242" s="3"/>
      <c r="G242" s="9">
        <v>1</v>
      </c>
      <c r="H242" s="7"/>
      <c r="I242" s="3"/>
    </row>
    <row r="243" spans="1:9" ht="18.75" x14ac:dyDescent="0.3">
      <c r="A243" s="23" t="s">
        <v>278</v>
      </c>
      <c r="B243" s="23"/>
      <c r="C243" s="3"/>
      <c r="E243" s="3"/>
      <c r="F243" s="3"/>
      <c r="G243" s="41">
        <v>1</v>
      </c>
      <c r="H243" s="7"/>
    </row>
    <row r="244" spans="1:9" ht="18.75" x14ac:dyDescent="0.3">
      <c r="A244" s="23" t="s">
        <v>279</v>
      </c>
      <c r="B244" s="23"/>
      <c r="C244" s="3"/>
      <c r="E244" s="3"/>
      <c r="F244" s="3"/>
      <c r="G244" s="9">
        <v>1</v>
      </c>
    </row>
    <row r="245" spans="1:9" ht="18.75" x14ac:dyDescent="0.3">
      <c r="A245" s="23" t="s">
        <v>280</v>
      </c>
      <c r="B245" s="23"/>
      <c r="C245" s="3"/>
      <c r="E245" s="3"/>
      <c r="F245" s="3"/>
      <c r="G245" s="41">
        <v>1</v>
      </c>
      <c r="H245" s="7"/>
    </row>
    <row r="246" spans="1:9" x14ac:dyDescent="0.25">
      <c r="A246" s="21"/>
      <c r="B246" s="3"/>
      <c r="C246" s="3"/>
      <c r="D246" s="21"/>
      <c r="E246" s="3"/>
      <c r="F246" s="3"/>
      <c r="G246" s="3"/>
      <c r="H246" s="7"/>
    </row>
    <row r="247" spans="1:9" x14ac:dyDescent="0.25">
      <c r="A247" s="7" t="s">
        <v>263</v>
      </c>
    </row>
    <row r="248" spans="1:9" x14ac:dyDescent="0.25">
      <c r="A248" s="7" t="s">
        <v>250</v>
      </c>
      <c r="H248" s="7"/>
    </row>
    <row r="249" spans="1:9" x14ac:dyDescent="0.25">
      <c r="A249" s="7" t="s">
        <v>251</v>
      </c>
      <c r="H249" s="7"/>
    </row>
    <row r="250" spans="1:9" x14ac:dyDescent="0.25">
      <c r="A250" s="3" t="s">
        <v>387</v>
      </c>
      <c r="D250" s="70">
        <f>D71*D110+D77*D112+D76*2*D111</f>
        <v>13.350271782721022</v>
      </c>
      <c r="E250" s="62" t="s">
        <v>1</v>
      </c>
      <c r="F250" s="15" t="s">
        <v>61</v>
      </c>
      <c r="G250" s="67"/>
    </row>
    <row r="251" spans="1:9" ht="20.25" x14ac:dyDescent="0.35">
      <c r="A251" s="3" t="s">
        <v>388</v>
      </c>
      <c r="B251" s="3"/>
      <c r="C251" s="3"/>
      <c r="D251" s="70">
        <f>D250*D208</f>
        <v>427.20869704707269</v>
      </c>
      <c r="E251" s="62" t="s">
        <v>18</v>
      </c>
    </row>
    <row r="252" spans="1:9" ht="18.75" x14ac:dyDescent="0.3">
      <c r="A252" s="3" t="s">
        <v>389</v>
      </c>
      <c r="D252" s="70">
        <f>(E78*D208-F219*C220)*C31</f>
        <v>19845.536558983709</v>
      </c>
      <c r="E252" s="62" t="s">
        <v>13</v>
      </c>
      <c r="F252" s="3"/>
      <c r="G252" s="3"/>
    </row>
    <row r="253" spans="1:9" ht="18.75" x14ac:dyDescent="0.3">
      <c r="A253" s="23" t="s">
        <v>283</v>
      </c>
      <c r="B253" s="3"/>
      <c r="C253" s="3"/>
      <c r="F253" s="70">
        <f>F34/G232</f>
        <v>0.6470588235294118</v>
      </c>
      <c r="G253" s="62"/>
    </row>
    <row r="254" spans="1:9" ht="18.75" x14ac:dyDescent="0.3">
      <c r="A254" s="23" t="s">
        <v>284</v>
      </c>
      <c r="B254" s="3"/>
      <c r="C254" s="3"/>
      <c r="F254" s="70">
        <f>F35/G233</f>
        <v>0.55000000000000004</v>
      </c>
      <c r="G254" s="62" t="s">
        <v>0</v>
      </c>
    </row>
    <row r="255" spans="1:9" x14ac:dyDescent="0.25">
      <c r="A255" s="3" t="s">
        <v>145</v>
      </c>
      <c r="B255" s="3"/>
      <c r="D255" s="65">
        <f>-4.671</f>
        <v>-4.6710000000000003</v>
      </c>
      <c r="E255" s="62" t="s">
        <v>59</v>
      </c>
    </row>
    <row r="256" spans="1:9" x14ac:dyDescent="0.25">
      <c r="B256" s="3" t="s">
        <v>390</v>
      </c>
      <c r="C256" s="70">
        <f>COS(D255/180*PI())</f>
        <v>0.99667873196139933</v>
      </c>
      <c r="D256" s="79"/>
      <c r="E256" s="8"/>
    </row>
    <row r="257" spans="1:7" x14ac:dyDescent="0.25">
      <c r="B257" s="3" t="s">
        <v>391</v>
      </c>
      <c r="C257" s="70">
        <f>SIN(D255*PI()/180)</f>
        <v>-8.1434054644337797E-2</v>
      </c>
      <c r="D257" s="79"/>
      <c r="E257" s="8"/>
    </row>
    <row r="258" spans="1:7" ht="18.75" x14ac:dyDescent="0.35">
      <c r="A258" s="21" t="s">
        <v>62</v>
      </c>
      <c r="D258" s="3"/>
      <c r="E258" s="70">
        <f>C256*E144*D230+C257*D252*D229</f>
        <v>42809.047406019119</v>
      </c>
      <c r="F258" s="62" t="s">
        <v>5</v>
      </c>
    </row>
    <row r="259" spans="1:7" ht="18.75" x14ac:dyDescent="0.35">
      <c r="A259" s="24" t="s">
        <v>63</v>
      </c>
      <c r="D259" s="3"/>
      <c r="E259" s="70">
        <f>C256*D252*D229-C257*E144*D230</f>
        <v>23409.399755929709</v>
      </c>
      <c r="F259" s="62" t="s">
        <v>5</v>
      </c>
    </row>
    <row r="260" spans="1:7" ht="18.75" x14ac:dyDescent="0.35">
      <c r="A260" s="23" t="s">
        <v>60</v>
      </c>
      <c r="B260" s="3"/>
      <c r="C260" s="3"/>
      <c r="D260" s="3"/>
      <c r="E260" s="70">
        <f>F253*E259+F254*1000*D251</f>
        <v>250112.04204149154</v>
      </c>
      <c r="F260" s="62" t="s">
        <v>5</v>
      </c>
    </row>
    <row r="261" spans="1:7" ht="18.75" x14ac:dyDescent="0.35">
      <c r="B261" t="s">
        <v>392</v>
      </c>
      <c r="C261" s="80">
        <f>C224*C225*E258</f>
        <v>47089.952146621035</v>
      </c>
      <c r="D261" s="4" t="str">
        <f>IF(C261&lt;F261,"&lt;","&gt;")</f>
        <v>&lt;</v>
      </c>
      <c r="E261" s="71" t="s">
        <v>393</v>
      </c>
      <c r="F261" s="80">
        <f>E260/D231</f>
        <v>166741.36136099437</v>
      </c>
    </row>
    <row r="262" spans="1:7" x14ac:dyDescent="0.25">
      <c r="A262" s="5" t="s">
        <v>107</v>
      </c>
      <c r="B262" s="3" t="str">
        <f>IF(C261&lt;F261,"该工况下堵头设计长度能满足规范要求。","该工况下堵头设计长度不能满足规范要求。")</f>
        <v>该工况下堵头设计长度能满足规范要求。</v>
      </c>
    </row>
    <row r="263" spans="1:7" x14ac:dyDescent="0.25">
      <c r="A263" s="3"/>
    </row>
    <row r="264" spans="1:7" x14ac:dyDescent="0.25">
      <c r="A264" s="7" t="s">
        <v>256</v>
      </c>
    </row>
    <row r="265" spans="1:7" x14ac:dyDescent="0.25">
      <c r="A265" s="3" t="s">
        <v>394</v>
      </c>
      <c r="D265" s="70">
        <f>D252</f>
        <v>19845.536558983709</v>
      </c>
      <c r="E265" s="62" t="s">
        <v>13</v>
      </c>
    </row>
    <row r="266" spans="1:7" ht="18.75" x14ac:dyDescent="0.3">
      <c r="A266" s="23" t="s">
        <v>283</v>
      </c>
      <c r="B266" s="3"/>
      <c r="C266" s="3"/>
      <c r="F266" s="70">
        <f>F34/G232</f>
        <v>0.6470588235294118</v>
      </c>
      <c r="G266" s="62"/>
    </row>
    <row r="267" spans="1:7" ht="18.75" x14ac:dyDescent="0.3">
      <c r="A267" s="23" t="s">
        <v>284</v>
      </c>
      <c r="B267" s="3"/>
      <c r="C267" s="3"/>
      <c r="F267" s="70">
        <f>F35/G233</f>
        <v>0.55000000000000004</v>
      </c>
      <c r="G267" s="62" t="s">
        <v>0</v>
      </c>
    </row>
    <row r="268" spans="1:7" ht="18.75" x14ac:dyDescent="0.35">
      <c r="A268" s="21" t="s">
        <v>64</v>
      </c>
      <c r="D268" s="3"/>
      <c r="E268" s="70">
        <f>C256*E145*D230+C257*D265</f>
        <v>44212.358762774005</v>
      </c>
      <c r="F268" s="62" t="s">
        <v>5</v>
      </c>
    </row>
    <row r="269" spans="1:7" ht="18.75" x14ac:dyDescent="0.35">
      <c r="A269" s="24" t="s">
        <v>65</v>
      </c>
      <c r="D269" s="3"/>
      <c r="E269" s="70">
        <f>C256*D252-C257*E145*D230</f>
        <v>23524.057900068197</v>
      </c>
      <c r="F269" s="62" t="s">
        <v>13</v>
      </c>
    </row>
    <row r="270" spans="1:7" ht="18.75" x14ac:dyDescent="0.35">
      <c r="A270" s="23" t="s">
        <v>60</v>
      </c>
      <c r="B270" s="3"/>
      <c r="C270" s="3"/>
      <c r="D270" s="3"/>
      <c r="E270" s="70">
        <f>F266*E269+F267*1000*D251</f>
        <v>250186.23260534587</v>
      </c>
      <c r="F270" s="62" t="s">
        <v>5</v>
      </c>
    </row>
    <row r="271" spans="1:7" ht="18.75" x14ac:dyDescent="0.35">
      <c r="B271" t="s">
        <v>392</v>
      </c>
      <c r="C271" s="80">
        <f>C224*E225*E268</f>
        <v>41338.555443193698</v>
      </c>
      <c r="D271" s="4" t="str">
        <f>IF(C271&lt;F271,"&lt;","&gt;")</f>
        <v>&lt;</v>
      </c>
      <c r="E271" s="71" t="s">
        <v>393</v>
      </c>
      <c r="F271" s="80">
        <f>E270/D231</f>
        <v>166790.82173689725</v>
      </c>
    </row>
    <row r="272" spans="1:7" x14ac:dyDescent="0.25">
      <c r="A272" s="5" t="s">
        <v>107</v>
      </c>
      <c r="B272" s="3" t="str">
        <f>IF(C271&lt;F271,"该工况下堵头设计长度能满足规范要求。","该工况下堵头设计长度不能满足规范要求。")</f>
        <v>该工况下堵头设计长度能满足规范要求。</v>
      </c>
    </row>
    <row r="273" spans="1:8" x14ac:dyDescent="0.25">
      <c r="A273" s="3"/>
    </row>
    <row r="274" spans="1:8" x14ac:dyDescent="0.25">
      <c r="A274" s="7" t="s">
        <v>257</v>
      </c>
    </row>
    <row r="275" spans="1:8" x14ac:dyDescent="0.25">
      <c r="A275" s="3" t="s">
        <v>395</v>
      </c>
      <c r="C275" s="70">
        <f>D252</f>
        <v>19845.536558983709</v>
      </c>
      <c r="D275" s="62" t="s">
        <v>13</v>
      </c>
    </row>
    <row r="276" spans="1:8" x14ac:dyDescent="0.25">
      <c r="A276" s="3" t="s">
        <v>396</v>
      </c>
      <c r="D276" s="70"/>
      <c r="E276" s="62"/>
    </row>
    <row r="277" spans="1:8" x14ac:dyDescent="0.25">
      <c r="A277" s="10" t="s">
        <v>323</v>
      </c>
      <c r="B277" s="3"/>
      <c r="C277" s="3"/>
      <c r="E277" s="17"/>
      <c r="F277" s="4"/>
    </row>
    <row r="278" spans="1:8" x14ac:dyDescent="0.25">
      <c r="A278" s="10" t="s">
        <v>335</v>
      </c>
      <c r="B278" s="3"/>
      <c r="C278" s="3"/>
      <c r="E278" s="17"/>
      <c r="F278" s="4"/>
      <c r="H278" s="56" t="s">
        <v>423</v>
      </c>
    </row>
    <row r="279" spans="1:8" x14ac:dyDescent="0.25">
      <c r="A279" s="10" t="s">
        <v>336</v>
      </c>
      <c r="B279" s="3"/>
      <c r="C279" s="3"/>
      <c r="E279" s="17"/>
      <c r="F279" s="4"/>
      <c r="H279" t="s">
        <v>397</v>
      </c>
    </row>
    <row r="280" spans="1:8" x14ac:dyDescent="0.25">
      <c r="A280" s="10" t="s">
        <v>337</v>
      </c>
      <c r="B280" s="3"/>
      <c r="C280" s="3"/>
      <c r="E280" s="17"/>
      <c r="F280" s="4"/>
      <c r="H280" s="56" t="s">
        <v>339</v>
      </c>
    </row>
    <row r="281" spans="1:8" ht="18.75" x14ac:dyDescent="0.3">
      <c r="A281" s="10" t="s">
        <v>264</v>
      </c>
      <c r="B281" s="3"/>
      <c r="C281" s="3"/>
      <c r="E281" s="17"/>
      <c r="F281" s="81">
        <f>0.08*2</f>
        <v>0.16</v>
      </c>
      <c r="G281" s="3" t="s">
        <v>179</v>
      </c>
      <c r="H281" s="10" t="s">
        <v>340</v>
      </c>
    </row>
    <row r="282" spans="1:8" x14ac:dyDescent="0.25">
      <c r="A282" s="23" t="s">
        <v>207</v>
      </c>
      <c r="B282" s="3"/>
      <c r="C282" s="3"/>
      <c r="E282" s="17"/>
      <c r="F282" s="4"/>
      <c r="H282" s="10" t="s">
        <v>338</v>
      </c>
    </row>
    <row r="283" spans="1:8" x14ac:dyDescent="0.25">
      <c r="A283" s="23" t="s">
        <v>208</v>
      </c>
      <c r="B283" s="3"/>
      <c r="C283" s="3"/>
      <c r="E283" s="17"/>
      <c r="F283" s="4"/>
    </row>
    <row r="284" spans="1:8" x14ac:dyDescent="0.25">
      <c r="A284" s="23"/>
      <c r="B284" s="3"/>
      <c r="C284" s="3"/>
      <c r="E284" s="17"/>
      <c r="F284" s="4"/>
    </row>
    <row r="285" spans="1:8" ht="16.5" thickBot="1" x14ac:dyDescent="0.3">
      <c r="A285" s="10"/>
      <c r="C285" s="70" t="s">
        <v>424</v>
      </c>
      <c r="E285" s="17"/>
      <c r="F285" s="4"/>
    </row>
    <row r="286" spans="1:8" ht="16.5" thickTop="1" x14ac:dyDescent="0.25">
      <c r="A286" s="10"/>
      <c r="B286" s="126" t="s">
        <v>128</v>
      </c>
      <c r="C286" s="119"/>
      <c r="D286" s="119" t="s">
        <v>133</v>
      </c>
      <c r="E286" s="120"/>
      <c r="F286" s="34" t="s">
        <v>134</v>
      </c>
    </row>
    <row r="287" spans="1:8" x14ac:dyDescent="0.25">
      <c r="A287" s="10"/>
      <c r="B287" s="131" t="s">
        <v>129</v>
      </c>
      <c r="C287" s="132"/>
      <c r="D287" s="136" t="s">
        <v>168</v>
      </c>
      <c r="E287" s="136"/>
      <c r="F287" s="137" t="s">
        <v>135</v>
      </c>
    </row>
    <row r="288" spans="1:8" x14ac:dyDescent="0.25">
      <c r="A288" s="10"/>
      <c r="B288" s="131" t="s">
        <v>130</v>
      </c>
      <c r="C288" s="132"/>
      <c r="D288" s="136" t="s">
        <v>137</v>
      </c>
      <c r="E288" s="136"/>
      <c r="F288" s="137"/>
    </row>
    <row r="289" spans="1:7" x14ac:dyDescent="0.25">
      <c r="A289" s="10"/>
      <c r="B289" s="131" t="s">
        <v>131</v>
      </c>
      <c r="C289" s="132"/>
      <c r="D289" s="136" t="s">
        <v>138</v>
      </c>
      <c r="E289" s="136"/>
      <c r="F289" s="137" t="s">
        <v>136</v>
      </c>
    </row>
    <row r="290" spans="1:7" ht="16.5" thickBot="1" x14ac:dyDescent="0.3">
      <c r="A290" s="10"/>
      <c r="B290" s="139" t="s">
        <v>132</v>
      </c>
      <c r="C290" s="140"/>
      <c r="D290" s="141" t="s">
        <v>139</v>
      </c>
      <c r="E290" s="141"/>
      <c r="F290" s="138"/>
    </row>
    <row r="291" spans="1:7" ht="16.5" thickTop="1" x14ac:dyDescent="0.25">
      <c r="A291" s="10"/>
      <c r="B291" s="3"/>
      <c r="C291" s="3"/>
      <c r="E291" s="17"/>
      <c r="F291" s="4"/>
    </row>
    <row r="292" spans="1:7" x14ac:dyDescent="0.25">
      <c r="A292" s="10"/>
      <c r="B292" s="3"/>
      <c r="C292" s="3"/>
      <c r="E292" s="17"/>
      <c r="F292" s="4"/>
    </row>
    <row r="293" spans="1:7" ht="16.5" thickBot="1" x14ac:dyDescent="0.3">
      <c r="A293" s="10"/>
      <c r="B293" s="3"/>
      <c r="C293" s="70" t="s">
        <v>432</v>
      </c>
      <c r="E293" s="17"/>
      <c r="F293" s="4"/>
    </row>
    <row r="294" spans="1:7" ht="16.5" thickTop="1" x14ac:dyDescent="0.25">
      <c r="A294" s="10"/>
      <c r="B294" s="126" t="s">
        <v>128</v>
      </c>
      <c r="C294" s="119"/>
      <c r="D294" s="133" t="s">
        <v>172</v>
      </c>
      <c r="E294" s="134"/>
      <c r="F294" s="134"/>
      <c r="G294" s="135"/>
    </row>
    <row r="295" spans="1:7" ht="16.5" x14ac:dyDescent="0.25">
      <c r="A295" s="10"/>
      <c r="B295" s="131" t="s">
        <v>169</v>
      </c>
      <c r="C295" s="132"/>
      <c r="D295" s="132" t="s">
        <v>173</v>
      </c>
      <c r="E295" s="132"/>
      <c r="F295" s="132"/>
      <c r="G295" s="137"/>
    </row>
    <row r="296" spans="1:7" ht="16.5" x14ac:dyDescent="0.25">
      <c r="A296" s="10"/>
      <c r="B296" s="131" t="s">
        <v>170</v>
      </c>
      <c r="C296" s="132"/>
      <c r="D296" s="132" t="s">
        <v>174</v>
      </c>
      <c r="E296" s="132"/>
      <c r="F296" s="132"/>
      <c r="G296" s="137"/>
    </row>
    <row r="297" spans="1:7" ht="17.25" thickBot="1" x14ac:dyDescent="0.3">
      <c r="A297" s="10"/>
      <c r="B297" s="139" t="s">
        <v>171</v>
      </c>
      <c r="C297" s="140"/>
      <c r="D297" s="140" t="s">
        <v>175</v>
      </c>
      <c r="E297" s="140"/>
      <c r="F297" s="140"/>
      <c r="G297" s="138"/>
    </row>
    <row r="298" spans="1:7" ht="16.5" thickTop="1" x14ac:dyDescent="0.25">
      <c r="A298" s="10"/>
      <c r="B298" s="3"/>
      <c r="C298" s="3"/>
      <c r="E298" s="17"/>
      <c r="F298" s="4"/>
    </row>
    <row r="299" spans="1:7" x14ac:dyDescent="0.25">
      <c r="A299" t="s">
        <v>398</v>
      </c>
      <c r="B299" s="3"/>
      <c r="C299" s="3"/>
      <c r="E299" s="17"/>
      <c r="F299" s="4"/>
    </row>
    <row r="300" spans="1:7" ht="18.75" x14ac:dyDescent="0.35">
      <c r="A300" t="s">
        <v>399</v>
      </c>
      <c r="B300" s="3"/>
      <c r="C300" s="3"/>
      <c r="E300" s="17"/>
      <c r="F300" s="18"/>
    </row>
    <row r="301" spans="1:7" ht="18.75" x14ac:dyDescent="0.3">
      <c r="A301" s="5" t="s">
        <v>4</v>
      </c>
      <c r="B301" s="3" t="s">
        <v>110</v>
      </c>
      <c r="C301" s="3"/>
      <c r="D301" s="3"/>
      <c r="E301" s="3"/>
      <c r="F301" s="3"/>
    </row>
    <row r="302" spans="1:7" ht="18.75" x14ac:dyDescent="0.3">
      <c r="A302" s="3"/>
      <c r="B302" s="3" t="s">
        <v>69</v>
      </c>
      <c r="C302" s="3"/>
      <c r="D302" s="3"/>
      <c r="E302" s="3">
        <f>IF(D30&gt;=50,0.5*F281,F281*(1-D30/100))</f>
        <v>0.08</v>
      </c>
      <c r="F302" s="3" t="s">
        <v>348</v>
      </c>
      <c r="G302" s="3"/>
    </row>
    <row r="303" spans="1:7" x14ac:dyDescent="0.25">
      <c r="A303" s="3" t="s">
        <v>140</v>
      </c>
      <c r="B303" s="3"/>
      <c r="C303" s="3"/>
      <c r="D303" s="3"/>
      <c r="E303" s="3"/>
      <c r="F303" s="3"/>
      <c r="G303" s="3"/>
    </row>
    <row r="304" spans="1:7" x14ac:dyDescent="0.25">
      <c r="A304" s="3"/>
      <c r="B304" s="3" t="s">
        <v>70</v>
      </c>
      <c r="C304" s="3"/>
      <c r="D304" s="3"/>
      <c r="E304">
        <v>0.25</v>
      </c>
      <c r="F304" s="3" t="s">
        <v>28</v>
      </c>
      <c r="G304" s="3"/>
    </row>
    <row r="305" spans="1:7" ht="18.75" x14ac:dyDescent="0.3">
      <c r="A305" s="3"/>
      <c r="B305" s="3" t="s">
        <v>114</v>
      </c>
      <c r="C305" s="3"/>
      <c r="D305" s="3"/>
      <c r="F305" s="3"/>
      <c r="G305" s="3"/>
    </row>
    <row r="306" spans="1:7" ht="18.75" x14ac:dyDescent="0.3">
      <c r="A306" s="3"/>
      <c r="B306" s="3" t="s">
        <v>209</v>
      </c>
      <c r="C306" s="3"/>
      <c r="F306" s="3">
        <v>1</v>
      </c>
      <c r="G306" s="3" t="s">
        <v>28</v>
      </c>
    </row>
    <row r="307" spans="1:7" ht="18" x14ac:dyDescent="0.25">
      <c r="A307" s="3"/>
      <c r="B307" s="3" t="s">
        <v>71</v>
      </c>
      <c r="D307" s="3">
        <v>9.81</v>
      </c>
      <c r="E307" s="3" t="s">
        <v>48</v>
      </c>
      <c r="F307" s="3"/>
    </row>
    <row r="308" spans="1:7" ht="18.75" x14ac:dyDescent="0.3">
      <c r="A308" t="s">
        <v>400</v>
      </c>
      <c r="D308" s="70">
        <f>C275</f>
        <v>19845.536558983709</v>
      </c>
      <c r="E308" t="s">
        <v>13</v>
      </c>
    </row>
    <row r="309" spans="1:7" ht="19.5" x14ac:dyDescent="0.35">
      <c r="A309" t="s">
        <v>401</v>
      </c>
      <c r="E309" s="70">
        <f>E302*D307*E304*D308*F306/D307</f>
        <v>396.9107311796742</v>
      </c>
      <c r="F309" t="s">
        <v>13</v>
      </c>
    </row>
    <row r="310" spans="1:7" x14ac:dyDescent="0.25">
      <c r="E310" s="70"/>
    </row>
    <row r="311" spans="1:7" x14ac:dyDescent="0.25">
      <c r="A311" s="3" t="s">
        <v>115</v>
      </c>
      <c r="C311" s="3"/>
    </row>
    <row r="312" spans="1:7" ht="18.75" x14ac:dyDescent="0.35">
      <c r="A312" t="s">
        <v>402</v>
      </c>
      <c r="C312" s="3"/>
    </row>
    <row r="313" spans="1:7" x14ac:dyDescent="0.25">
      <c r="A313" s="9" t="s">
        <v>67</v>
      </c>
      <c r="B313" s="70"/>
      <c r="C313" s="3"/>
      <c r="D313" s="3"/>
      <c r="E313" s="3"/>
      <c r="F313" s="3"/>
    </row>
    <row r="314" spans="1:7" ht="18.75" x14ac:dyDescent="0.3">
      <c r="A314" s="3"/>
      <c r="B314" s="70" t="s">
        <v>120</v>
      </c>
      <c r="C314" s="3"/>
      <c r="D314" s="3"/>
      <c r="E314" s="3"/>
      <c r="F314" s="3">
        <f>E302</f>
        <v>0.08</v>
      </c>
      <c r="G314" t="s">
        <v>121</v>
      </c>
    </row>
    <row r="315" spans="1:7" x14ac:dyDescent="0.25">
      <c r="A315" s="3"/>
      <c r="B315" s="70" t="s">
        <v>68</v>
      </c>
      <c r="C315" s="3"/>
      <c r="D315" s="3"/>
      <c r="E315" s="4">
        <f>E304</f>
        <v>0.25</v>
      </c>
      <c r="F315" s="3" t="s">
        <v>28</v>
      </c>
    </row>
    <row r="316" spans="1:7" x14ac:dyDescent="0.25">
      <c r="B316" s="70" t="s">
        <v>403</v>
      </c>
      <c r="C316" s="3"/>
    </row>
    <row r="317" spans="1:7" ht="16.5" thickBot="1" x14ac:dyDescent="0.3">
      <c r="B317" s="70" t="s">
        <v>426</v>
      </c>
      <c r="C317" s="3"/>
      <c r="D317" s="3"/>
    </row>
    <row r="318" spans="1:7" ht="18.75" x14ac:dyDescent="0.3">
      <c r="B318" s="32" t="s">
        <v>404</v>
      </c>
      <c r="C318" s="82" t="s">
        <v>119</v>
      </c>
      <c r="D318" s="28" t="s">
        <v>404</v>
      </c>
      <c r="E318" s="83" t="s">
        <v>119</v>
      </c>
    </row>
    <row r="319" spans="1:7" x14ac:dyDescent="0.25">
      <c r="B319" s="84">
        <v>0</v>
      </c>
      <c r="C319" s="85">
        <v>0</v>
      </c>
      <c r="D319" s="85">
        <v>0.6</v>
      </c>
      <c r="E319" s="86">
        <v>0.76</v>
      </c>
    </row>
    <row r="320" spans="1:7" x14ac:dyDescent="0.25">
      <c r="B320" s="84">
        <v>0.1</v>
      </c>
      <c r="C320" s="85">
        <v>0.43</v>
      </c>
      <c r="D320" s="85">
        <v>0.7</v>
      </c>
      <c r="E320" s="86">
        <v>0.75</v>
      </c>
    </row>
    <row r="321" spans="1:12" x14ac:dyDescent="0.25">
      <c r="B321" s="84">
        <v>0.2</v>
      </c>
      <c r="C321" s="85">
        <v>0.57999999999999996</v>
      </c>
      <c r="D321" s="85">
        <v>0.8</v>
      </c>
      <c r="E321" s="86">
        <v>0.71</v>
      </c>
    </row>
    <row r="322" spans="1:12" x14ac:dyDescent="0.25">
      <c r="B322" s="84">
        <v>0.3</v>
      </c>
      <c r="C322" s="85">
        <v>0.68</v>
      </c>
      <c r="D322" s="85">
        <v>0.9</v>
      </c>
      <c r="E322" s="86">
        <v>0.68</v>
      </c>
    </row>
    <row r="323" spans="1:12" x14ac:dyDescent="0.25">
      <c r="B323" s="84">
        <v>0.4</v>
      </c>
      <c r="C323" s="85">
        <v>0.74</v>
      </c>
      <c r="D323" s="85">
        <v>1</v>
      </c>
      <c r="E323" s="86">
        <v>0.67</v>
      </c>
    </row>
    <row r="324" spans="1:12" ht="16.5" thickBot="1" x14ac:dyDescent="0.3">
      <c r="B324" s="87">
        <v>0.5</v>
      </c>
      <c r="C324" s="88">
        <v>0.76</v>
      </c>
      <c r="D324" s="88" t="s">
        <v>160</v>
      </c>
      <c r="E324" s="89" t="s">
        <v>160</v>
      </c>
    </row>
    <row r="325" spans="1:12" ht="18.75" x14ac:dyDescent="0.3">
      <c r="A325" s="3"/>
      <c r="B325" s="70" t="s">
        <v>127</v>
      </c>
      <c r="C325" s="3"/>
      <c r="D325" s="3"/>
    </row>
    <row r="326" spans="1:12" ht="18.75" x14ac:dyDescent="0.3">
      <c r="A326" s="3"/>
      <c r="B326" s="70" t="s">
        <v>72</v>
      </c>
      <c r="C326" s="3"/>
      <c r="D326" s="3"/>
    </row>
    <row r="327" spans="1:12" ht="18.75" x14ac:dyDescent="0.35">
      <c r="A327" t="s">
        <v>405</v>
      </c>
      <c r="D327" s="17">
        <f>E123</f>
        <v>103.61439999999999</v>
      </c>
      <c r="E327" t="s">
        <v>11</v>
      </c>
    </row>
    <row r="328" spans="1:12" x14ac:dyDescent="0.25">
      <c r="A328" t="s">
        <v>124</v>
      </c>
      <c r="D328" s="17"/>
    </row>
    <row r="329" spans="1:12" ht="18.75" x14ac:dyDescent="0.35">
      <c r="A329" t="s">
        <v>406</v>
      </c>
      <c r="B329" s="3"/>
      <c r="D329" s="70">
        <f>F136</f>
        <v>98.447593957578945</v>
      </c>
      <c r="E329" s="3" t="s">
        <v>11</v>
      </c>
      <c r="H329" s="90">
        <v>0.9</v>
      </c>
      <c r="I329" s="90">
        <v>0.68</v>
      </c>
      <c r="J329" s="91"/>
      <c r="K329" s="91"/>
      <c r="L329" s="91"/>
    </row>
    <row r="330" spans="1:12" ht="18.75" x14ac:dyDescent="0.3">
      <c r="B330" s="3"/>
      <c r="C330" s="3" t="s">
        <v>25</v>
      </c>
      <c r="D330" s="70">
        <f>D329/D338</f>
        <v>0.95013428594460769</v>
      </c>
      <c r="E330" s="3"/>
      <c r="F330" s="3"/>
      <c r="G330" s="70"/>
      <c r="H330" s="90">
        <v>1</v>
      </c>
      <c r="I330" s="90">
        <v>0.67</v>
      </c>
      <c r="J330" s="91"/>
      <c r="K330" s="91">
        <f>H329-H330</f>
        <v>-9.9999999999999978E-2</v>
      </c>
      <c r="L330" s="91">
        <f>I329-I330</f>
        <v>1.0000000000000009E-2</v>
      </c>
    </row>
    <row r="331" spans="1:12" ht="18.75" x14ac:dyDescent="0.3">
      <c r="B331" s="5" t="s">
        <v>122</v>
      </c>
      <c r="C331" s="70" t="s">
        <v>116</v>
      </c>
      <c r="D331" s="65">
        <f>I331</f>
        <v>0.6749865714055393</v>
      </c>
      <c r="E331" s="3"/>
      <c r="F331" s="3"/>
      <c r="G331" s="70"/>
      <c r="H331" s="92">
        <f>D330</f>
        <v>0.95013428594460769</v>
      </c>
      <c r="I331" s="93">
        <f>I329-L331</f>
        <v>0.6749865714055393</v>
      </c>
      <c r="J331" s="91"/>
      <c r="K331" s="91">
        <f>H329-H331</f>
        <v>-5.0134285944607671E-2</v>
      </c>
      <c r="L331" s="91">
        <f>K331/K330*L330</f>
        <v>5.0134285944607726E-3</v>
      </c>
    </row>
    <row r="332" spans="1:12" ht="19.5" x14ac:dyDescent="0.35">
      <c r="A332" t="s">
        <v>407</v>
      </c>
      <c r="B332" s="3"/>
      <c r="C332" s="3"/>
      <c r="D332" s="18"/>
      <c r="F332" s="94">
        <f>F314*D307*E315*D331*1*D327</f>
        <v>13.721900072152302</v>
      </c>
      <c r="G332" s="27" t="s">
        <v>123</v>
      </c>
    </row>
    <row r="333" spans="1:12" ht="19.5" x14ac:dyDescent="0.35">
      <c r="A333" t="s">
        <v>408</v>
      </c>
      <c r="E333" s="70">
        <f>F332*E134</f>
        <v>144.71808359107192</v>
      </c>
      <c r="F333" s="27" t="s">
        <v>13</v>
      </c>
      <c r="H333" s="90">
        <v>0.9</v>
      </c>
      <c r="I333" s="90">
        <v>0.68</v>
      </c>
      <c r="J333" s="91"/>
      <c r="K333" s="91"/>
      <c r="L333" s="91"/>
    </row>
    <row r="334" spans="1:12" x14ac:dyDescent="0.25">
      <c r="A334" t="s">
        <v>125</v>
      </c>
      <c r="E334" s="70"/>
      <c r="F334" s="27"/>
      <c r="H334" s="90">
        <v>1</v>
      </c>
      <c r="I334" s="90">
        <v>0.67</v>
      </c>
      <c r="J334" s="91"/>
      <c r="K334" s="91">
        <f>H333-H334</f>
        <v>-9.9999999999999978E-2</v>
      </c>
      <c r="L334" s="91">
        <f>I333-I334</f>
        <v>1.0000000000000009E-2</v>
      </c>
    </row>
    <row r="335" spans="1:12" ht="18.75" x14ac:dyDescent="0.35">
      <c r="A335" t="s">
        <v>409</v>
      </c>
      <c r="B335" s="3"/>
      <c r="C335" s="3"/>
      <c r="D335" s="70">
        <f>E124</f>
        <v>99.114190936368431</v>
      </c>
      <c r="E335" s="3" t="s">
        <v>11</v>
      </c>
      <c r="H335" s="92">
        <f>D336</f>
        <v>0.95656772549344915</v>
      </c>
      <c r="I335" s="93">
        <f>I333-L335</f>
        <v>0.67434322745065511</v>
      </c>
      <c r="J335" s="91"/>
      <c r="K335" s="91">
        <f>H333-H335</f>
        <v>-5.6567725493449128E-2</v>
      </c>
      <c r="L335" s="91">
        <f>K335/K334*L334</f>
        <v>5.6567725493449185E-3</v>
      </c>
    </row>
    <row r="336" spans="1:12" ht="18.75" x14ac:dyDescent="0.3">
      <c r="B336" s="3"/>
      <c r="C336" s="3" t="s">
        <v>26</v>
      </c>
      <c r="D336" s="70">
        <f>D335/D338</f>
        <v>0.95656772549344915</v>
      </c>
      <c r="E336" s="3"/>
      <c r="F336" s="3"/>
      <c r="G336" s="70"/>
    </row>
    <row r="337" spans="1:12" ht="18.75" x14ac:dyDescent="0.3">
      <c r="B337" s="5" t="s">
        <v>122</v>
      </c>
      <c r="C337" s="70" t="s">
        <v>117</v>
      </c>
      <c r="D337" s="65">
        <f>I335</f>
        <v>0.67434322745065511</v>
      </c>
      <c r="E337" s="3"/>
      <c r="F337" s="3"/>
      <c r="G337" s="70"/>
      <c r="H337" s="90">
        <v>0.9</v>
      </c>
      <c r="I337" s="90">
        <v>0.68</v>
      </c>
      <c r="J337" s="91"/>
      <c r="K337" s="91"/>
      <c r="L337" s="91"/>
    </row>
    <row r="338" spans="1:12" ht="18.75" x14ac:dyDescent="0.35">
      <c r="A338" t="s">
        <v>410</v>
      </c>
      <c r="B338" s="3"/>
      <c r="C338" s="3"/>
      <c r="D338" s="70">
        <f>E123</f>
        <v>103.61439999999999</v>
      </c>
      <c r="E338" s="3" t="s">
        <v>11</v>
      </c>
      <c r="H338" s="90">
        <v>1</v>
      </c>
      <c r="I338" s="90">
        <v>0.67</v>
      </c>
      <c r="J338" s="91"/>
      <c r="K338" s="91">
        <f>H337-H338</f>
        <v>-9.9999999999999978E-2</v>
      </c>
      <c r="L338" s="91">
        <f>I337-I338</f>
        <v>1.0000000000000009E-2</v>
      </c>
    </row>
    <row r="339" spans="1:12" ht="18.75" x14ac:dyDescent="0.3">
      <c r="B339" s="3"/>
      <c r="C339" s="3" t="s">
        <v>27</v>
      </c>
      <c r="D339" s="70">
        <f>D338/D338</f>
        <v>1</v>
      </c>
      <c r="E339" s="3"/>
      <c r="F339" s="3"/>
      <c r="G339" s="70"/>
      <c r="H339" s="92">
        <f>D339</f>
        <v>1</v>
      </c>
      <c r="I339" s="93">
        <f>I337-L339</f>
        <v>0.67</v>
      </c>
      <c r="J339" s="91"/>
      <c r="K339" s="91">
        <f>H337-H339</f>
        <v>-9.9999999999999978E-2</v>
      </c>
      <c r="L339" s="91">
        <f>K339/K338*L338</f>
        <v>1.0000000000000009E-2</v>
      </c>
    </row>
    <row r="340" spans="1:12" ht="18.75" x14ac:dyDescent="0.3">
      <c r="B340" s="5" t="s">
        <v>122</v>
      </c>
      <c r="C340" s="70" t="s">
        <v>118</v>
      </c>
      <c r="D340" s="65">
        <f>I339</f>
        <v>0.67</v>
      </c>
      <c r="E340" s="3"/>
      <c r="F340" s="3"/>
      <c r="G340" s="70"/>
    </row>
    <row r="341" spans="1:12" ht="18.75" x14ac:dyDescent="0.35">
      <c r="A341" t="s">
        <v>411</v>
      </c>
      <c r="E341" s="70">
        <f>(D337+D340)/2</f>
        <v>0.67217161372532752</v>
      </c>
    </row>
    <row r="342" spans="1:12" ht="19.5" x14ac:dyDescent="0.35">
      <c r="A342" t="s">
        <v>412</v>
      </c>
      <c r="F342" s="94">
        <f>F314*D307*E315*E341*1*D327</f>
        <v>13.664674388514225</v>
      </c>
      <c r="G342" s="27" t="s">
        <v>123</v>
      </c>
    </row>
    <row r="343" spans="1:12" ht="19.5" x14ac:dyDescent="0.35">
      <c r="A343" t="s">
        <v>413</v>
      </c>
      <c r="B343" s="3"/>
      <c r="C343" s="3"/>
      <c r="D343" s="18"/>
      <c r="F343" s="70">
        <f>F342*D71*D76</f>
        <v>461.20418651074272</v>
      </c>
      <c r="G343" s="27" t="s">
        <v>13</v>
      </c>
    </row>
    <row r="344" spans="1:12" x14ac:dyDescent="0.25">
      <c r="A344" s="27" t="s">
        <v>126</v>
      </c>
    </row>
    <row r="345" spans="1:12" ht="18.75" x14ac:dyDescent="0.3">
      <c r="B345" s="27" t="s">
        <v>414</v>
      </c>
      <c r="E345" s="70">
        <f>E333+F343</f>
        <v>605.92227010181466</v>
      </c>
      <c r="F345" s="27" t="s">
        <v>13</v>
      </c>
    </row>
    <row r="346" spans="1:12" x14ac:dyDescent="0.25">
      <c r="B346" s="27"/>
      <c r="E346" s="70"/>
      <c r="F346" s="27"/>
    </row>
    <row r="347" spans="1:12" x14ac:dyDescent="0.25">
      <c r="A347" s="3" t="s">
        <v>415</v>
      </c>
      <c r="B347" s="3"/>
      <c r="C347" s="70"/>
      <c r="E347" s="70"/>
      <c r="F347" s="4"/>
    </row>
    <row r="348" spans="1:12" ht="18.75" x14ac:dyDescent="0.35">
      <c r="A348" s="3" t="s">
        <v>416</v>
      </c>
      <c r="D348" s="70">
        <f>E349/90</f>
        <v>1</v>
      </c>
    </row>
    <row r="349" spans="1:12" x14ac:dyDescent="0.25">
      <c r="A349" s="9" t="s">
        <v>182</v>
      </c>
      <c r="C349" s="3"/>
      <c r="E349" s="26">
        <v>90</v>
      </c>
      <c r="F349" s="17" t="s">
        <v>23</v>
      </c>
    </row>
    <row r="350" spans="1:12" x14ac:dyDescent="0.25">
      <c r="A350" s="3"/>
      <c r="D350" s="70"/>
      <c r="E350" s="62"/>
    </row>
    <row r="351" spans="1:12" x14ac:dyDescent="0.25">
      <c r="A351" s="3" t="s">
        <v>417</v>
      </c>
      <c r="D351" s="70"/>
      <c r="E351" s="62"/>
    </row>
    <row r="352" spans="1:12" ht="18.75" x14ac:dyDescent="0.3">
      <c r="A352" s="23" t="s">
        <v>281</v>
      </c>
      <c r="B352" s="3"/>
      <c r="C352" s="3"/>
      <c r="F352" s="70">
        <f>F34/G242</f>
        <v>1.1000000000000001</v>
      </c>
    </row>
    <row r="353" spans="1:7" ht="18.75" x14ac:dyDescent="0.3">
      <c r="A353" s="23" t="s">
        <v>282</v>
      </c>
      <c r="B353" s="3"/>
      <c r="C353" s="3"/>
      <c r="F353" s="70">
        <f>F35/G243</f>
        <v>1.1000000000000001</v>
      </c>
      <c r="G353" s="62" t="s">
        <v>0</v>
      </c>
    </row>
    <row r="354" spans="1:7" ht="18.75" x14ac:dyDescent="0.35">
      <c r="A354" s="3" t="s">
        <v>418</v>
      </c>
      <c r="D354" s="3"/>
      <c r="E354" s="3"/>
      <c r="F354" s="20">
        <f>C256*(E143*D239+E309*D240+E345*D348*D240)+C257*C275*D238</f>
        <v>42985.620230773835</v>
      </c>
      <c r="G354" s="62" t="s">
        <v>5</v>
      </c>
    </row>
    <row r="355" spans="1:7" ht="18.75" x14ac:dyDescent="0.35">
      <c r="A355" s="3" t="s">
        <v>419</v>
      </c>
      <c r="B355" s="3"/>
      <c r="C355" s="3"/>
      <c r="D355" s="3"/>
      <c r="E355" s="3"/>
      <c r="F355" s="17">
        <f>C256*C275*D238-C257*(E143*D239+E309*D240+E345*D348*D240)</f>
        <v>23423.82671278017</v>
      </c>
      <c r="G355" s="62" t="s">
        <v>5</v>
      </c>
    </row>
    <row r="356" spans="1:7" ht="18.75" x14ac:dyDescent="0.35">
      <c r="A356" s="23" t="s">
        <v>60</v>
      </c>
      <c r="B356" s="3"/>
      <c r="C356" s="3"/>
      <c r="D356" s="3"/>
      <c r="E356" s="3"/>
      <c r="F356" s="70">
        <f>F352*F355+F353*1000*D251</f>
        <v>495695.77613583812</v>
      </c>
      <c r="G356" s="62" t="s">
        <v>5</v>
      </c>
    </row>
    <row r="357" spans="1:7" ht="18.75" x14ac:dyDescent="0.35">
      <c r="B357" t="s">
        <v>392</v>
      </c>
      <c r="C357" s="42">
        <f>C224*E225*F354</f>
        <v>40191.554915773537</v>
      </c>
      <c r="D357" s="4" t="str">
        <f>IF(C357&lt;F357,"&lt;","&gt;")</f>
        <v>&lt;</v>
      </c>
      <c r="E357" t="s">
        <v>420</v>
      </c>
      <c r="F357" s="80">
        <f>F356/D241</f>
        <v>183591.02819845855</v>
      </c>
    </row>
    <row r="358" spans="1:7" x14ac:dyDescent="0.25">
      <c r="A358" s="5" t="s">
        <v>107</v>
      </c>
      <c r="B358" s="3" t="str">
        <f>IF(C357&lt;F357,"该工况下堵头设计长度能满足规范要求。","该工况下堵头设计长度不能满足规范要求。")</f>
        <v>该工况下堵头设计长度能满足规范要求。</v>
      </c>
    </row>
    <row r="359" spans="1:7" x14ac:dyDescent="0.25">
      <c r="A359" s="5"/>
      <c r="B359" s="3"/>
    </row>
    <row r="360" spans="1:7" x14ac:dyDescent="0.25">
      <c r="A360" s="7" t="s">
        <v>252</v>
      </c>
    </row>
    <row r="361" spans="1:7" x14ac:dyDescent="0.25">
      <c r="A361" s="7" t="s">
        <v>253</v>
      </c>
    </row>
    <row r="362" spans="1:7" x14ac:dyDescent="0.25">
      <c r="A362" s="3" t="s">
        <v>387</v>
      </c>
      <c r="D362" s="70">
        <f>D83*D110+D89*D112+D88*2*D111</f>
        <v>15.429656865962659</v>
      </c>
      <c r="E362" s="62" t="s">
        <v>1</v>
      </c>
      <c r="F362" s="15" t="s">
        <v>61</v>
      </c>
      <c r="G362" s="67"/>
    </row>
    <row r="363" spans="1:7" ht="20.25" x14ac:dyDescent="0.35">
      <c r="A363" s="3" t="s">
        <v>388</v>
      </c>
      <c r="B363" s="3"/>
      <c r="C363" s="3"/>
      <c r="D363" s="70">
        <f>D362*D208</f>
        <v>493.7490197108051</v>
      </c>
      <c r="E363" s="62" t="s">
        <v>18</v>
      </c>
    </row>
    <row r="364" spans="1:7" ht="18.75" x14ac:dyDescent="0.3">
      <c r="A364" s="3" t="s">
        <v>389</v>
      </c>
      <c r="D364" s="70">
        <f>(F90*D208-F219*C220)*C31</f>
        <v>26848.444557946248</v>
      </c>
      <c r="E364" s="62" t="s">
        <v>13</v>
      </c>
      <c r="F364" s="3"/>
      <c r="G364" s="3"/>
    </row>
    <row r="365" spans="1:7" ht="18.75" x14ac:dyDescent="0.3">
      <c r="A365" s="23" t="s">
        <v>285</v>
      </c>
      <c r="B365" s="3"/>
      <c r="C365" s="3"/>
      <c r="F365" s="70">
        <f>F36/G234</f>
        <v>0.3235294117647059</v>
      </c>
      <c r="G365" s="62"/>
    </row>
    <row r="366" spans="1:7" ht="18.75" x14ac:dyDescent="0.3">
      <c r="A366" s="23" t="s">
        <v>286</v>
      </c>
      <c r="B366" s="3"/>
      <c r="C366" s="3"/>
      <c r="F366" s="70">
        <f>F37/G235</f>
        <v>0.25</v>
      </c>
      <c r="G366" s="62" t="s">
        <v>0</v>
      </c>
    </row>
    <row r="367" spans="1:7" x14ac:dyDescent="0.25">
      <c r="A367" s="3" t="s">
        <v>145</v>
      </c>
      <c r="B367" s="3"/>
      <c r="D367" s="70">
        <f>D255</f>
        <v>-4.6710000000000003</v>
      </c>
      <c r="E367" s="62" t="s">
        <v>59</v>
      </c>
    </row>
    <row r="368" spans="1:7" x14ac:dyDescent="0.25">
      <c r="B368" s="3" t="s">
        <v>390</v>
      </c>
      <c r="C368" s="70">
        <f>COS(D367/180*PI())</f>
        <v>0.99667873196139933</v>
      </c>
      <c r="D368" s="79"/>
      <c r="E368" s="8"/>
    </row>
    <row r="369" spans="1:7" x14ac:dyDescent="0.25">
      <c r="B369" s="3" t="s">
        <v>391</v>
      </c>
      <c r="C369" s="70">
        <f>SIN(D367*PI()/180)</f>
        <v>-8.1434054644337797E-2</v>
      </c>
      <c r="D369" s="79"/>
      <c r="E369" s="8"/>
    </row>
    <row r="370" spans="1:7" ht="18.75" x14ac:dyDescent="0.35">
      <c r="A370" s="21" t="s">
        <v>62</v>
      </c>
      <c r="D370" s="3"/>
      <c r="E370" s="70">
        <f>C368*E169*D230+C369*D364*D229</f>
        <v>57922.279406253831</v>
      </c>
      <c r="F370" s="62" t="s">
        <v>5</v>
      </c>
    </row>
    <row r="371" spans="1:7" ht="18.75" x14ac:dyDescent="0.35">
      <c r="A371" s="24" t="s">
        <v>63</v>
      </c>
      <c r="D371" s="3"/>
      <c r="E371" s="70">
        <f>C368*D364*D229-C369*E169*D230</f>
        <v>31670.476766491513</v>
      </c>
      <c r="F371" s="62" t="s">
        <v>5</v>
      </c>
    </row>
    <row r="372" spans="1:7" ht="18.75" x14ac:dyDescent="0.35">
      <c r="A372" s="23" t="s">
        <v>60</v>
      </c>
      <c r="B372" s="3"/>
      <c r="C372" s="3"/>
      <c r="D372" s="3"/>
      <c r="E372" s="70">
        <f>F365*E371+F366*1000*D363</f>
        <v>133683.58564627205</v>
      </c>
      <c r="F372" s="62" t="s">
        <v>5</v>
      </c>
    </row>
    <row r="373" spans="1:7" ht="18.75" x14ac:dyDescent="0.35">
      <c r="B373" t="s">
        <v>392</v>
      </c>
      <c r="C373" s="80">
        <f>C224*C225*E370</f>
        <v>63714.507346879218</v>
      </c>
      <c r="D373" s="4" t="str">
        <f>IF(C373&lt;F373,"&lt;","&gt;")</f>
        <v>&lt;</v>
      </c>
      <c r="E373" s="71" t="s">
        <v>393</v>
      </c>
      <c r="F373" s="80">
        <f>E372/D231</f>
        <v>89122.390430848041</v>
      </c>
    </row>
    <row r="374" spans="1:7" x14ac:dyDescent="0.25">
      <c r="A374" s="5" t="s">
        <v>107</v>
      </c>
      <c r="B374" s="3" t="str">
        <f>IF(C373&lt;F373,"该工况下堵头设计长度能满足规范要求。","该工况下堵头设计长度不能满足规范要求。")</f>
        <v>该工况下堵头设计长度能满足规范要求。</v>
      </c>
    </row>
    <row r="375" spans="1:7" x14ac:dyDescent="0.25">
      <c r="A375" s="3"/>
    </row>
    <row r="376" spans="1:7" x14ac:dyDescent="0.25">
      <c r="A376" s="7" t="s">
        <v>254</v>
      </c>
    </row>
    <row r="377" spans="1:7" x14ac:dyDescent="0.25">
      <c r="A377" s="3" t="s">
        <v>394</v>
      </c>
      <c r="D377" s="70">
        <f>D364</f>
        <v>26848.444557946248</v>
      </c>
      <c r="E377" s="62" t="s">
        <v>13</v>
      </c>
    </row>
    <row r="378" spans="1:7" ht="18.75" x14ac:dyDescent="0.3">
      <c r="A378" s="23" t="s">
        <v>285</v>
      </c>
      <c r="B378" s="3"/>
      <c r="C378" s="3"/>
      <c r="F378" s="70">
        <f>F36/G234</f>
        <v>0.3235294117647059</v>
      </c>
      <c r="G378" s="62"/>
    </row>
    <row r="379" spans="1:7" ht="18.75" x14ac:dyDescent="0.3">
      <c r="A379" s="23" t="s">
        <v>286</v>
      </c>
      <c r="B379" s="3"/>
      <c r="C379" s="3"/>
      <c r="F379" s="70">
        <f>F37/G235</f>
        <v>0.25</v>
      </c>
      <c r="G379" s="62" t="s">
        <v>0</v>
      </c>
    </row>
    <row r="380" spans="1:7" ht="18.75" x14ac:dyDescent="0.35">
      <c r="A380" s="21" t="s">
        <v>64</v>
      </c>
      <c r="D380" s="3"/>
      <c r="E380" s="70">
        <f>C368*E170*D230+C369*D377*D229</f>
        <v>59820.778197021697</v>
      </c>
      <c r="F380" s="62" t="s">
        <v>5</v>
      </c>
    </row>
    <row r="381" spans="1:7" ht="18.75" x14ac:dyDescent="0.35">
      <c r="A381" s="24" t="s">
        <v>65</v>
      </c>
      <c r="D381" s="3"/>
      <c r="E381" s="70">
        <f>C368*D364*D229-C369*E170*D230</f>
        <v>31825.594408026165</v>
      </c>
      <c r="F381" s="62" t="s">
        <v>13</v>
      </c>
    </row>
    <row r="382" spans="1:7" ht="18.75" x14ac:dyDescent="0.35">
      <c r="A382" s="23" t="s">
        <v>60</v>
      </c>
      <c r="B382" s="3"/>
      <c r="C382" s="3"/>
      <c r="D382" s="3"/>
      <c r="E382" s="70">
        <f>F378*E381+F379*1000*D363</f>
        <v>133733.77076559208</v>
      </c>
      <c r="F382" s="62" t="s">
        <v>5</v>
      </c>
    </row>
    <row r="383" spans="1:7" ht="18.75" x14ac:dyDescent="0.35">
      <c r="B383" t="s">
        <v>392</v>
      </c>
      <c r="C383" s="80">
        <f>C224*E225*E380</f>
        <v>55932.427614215288</v>
      </c>
      <c r="D383" s="4" t="str">
        <f>IF(C383&lt;F383,"&lt;","&gt;")</f>
        <v>&lt;</v>
      </c>
      <c r="E383" s="71" t="s">
        <v>393</v>
      </c>
      <c r="F383" s="80">
        <f>E382/D231</f>
        <v>89155.847177061383</v>
      </c>
    </row>
    <row r="384" spans="1:7" x14ac:dyDescent="0.25">
      <c r="A384" s="5" t="s">
        <v>107</v>
      </c>
      <c r="B384" s="3" t="str">
        <f>IF(C383&lt;F383,"该工况下堵头设计长度能满足规范要求。","该工况下堵头设计长度不能满足规范要求。")</f>
        <v>该工况下堵头设计长度能满足规范要求。</v>
      </c>
    </row>
    <row r="385" spans="1:12" x14ac:dyDescent="0.25">
      <c r="A385" s="3"/>
    </row>
    <row r="386" spans="1:12" x14ac:dyDescent="0.25">
      <c r="A386" s="7" t="s">
        <v>255</v>
      </c>
    </row>
    <row r="387" spans="1:12" x14ac:dyDescent="0.25">
      <c r="A387" s="3" t="s">
        <v>395</v>
      </c>
      <c r="C387" s="70">
        <f>D364</f>
        <v>26848.444557946248</v>
      </c>
      <c r="D387" s="62" t="s">
        <v>13</v>
      </c>
    </row>
    <row r="388" spans="1:12" x14ac:dyDescent="0.25">
      <c r="A388" s="3"/>
      <c r="D388" s="70"/>
      <c r="E388" s="62"/>
    </row>
    <row r="389" spans="1:12" x14ac:dyDescent="0.25">
      <c r="A389" s="3" t="s">
        <v>396</v>
      </c>
      <c r="D389" s="70"/>
      <c r="E389" s="62"/>
    </row>
    <row r="390" spans="1:12" x14ac:dyDescent="0.25">
      <c r="A390" t="s">
        <v>398</v>
      </c>
      <c r="B390" s="3"/>
      <c r="C390" s="3"/>
      <c r="E390" s="17"/>
      <c r="F390" s="4"/>
    </row>
    <row r="391" spans="1:12" ht="18.75" x14ac:dyDescent="0.3">
      <c r="A391" t="s">
        <v>400</v>
      </c>
      <c r="D391" s="70">
        <f>C387</f>
        <v>26848.444557946248</v>
      </c>
      <c r="E391" t="s">
        <v>13</v>
      </c>
    </row>
    <row r="392" spans="1:12" ht="19.5" x14ac:dyDescent="0.35">
      <c r="A392" t="s">
        <v>401</v>
      </c>
      <c r="E392" s="70">
        <f>E302*D307*E304*D391*F306/D307</f>
        <v>536.96889115892498</v>
      </c>
      <c r="F392" t="s">
        <v>13</v>
      </c>
    </row>
    <row r="393" spans="1:12" x14ac:dyDescent="0.25">
      <c r="E393" s="70"/>
    </row>
    <row r="394" spans="1:12" x14ac:dyDescent="0.25">
      <c r="A394" s="3" t="s">
        <v>115</v>
      </c>
      <c r="C394" s="3"/>
    </row>
    <row r="395" spans="1:12" ht="18.75" x14ac:dyDescent="0.35">
      <c r="A395" t="s">
        <v>402</v>
      </c>
      <c r="C395" s="3"/>
    </row>
    <row r="396" spans="1:12" ht="18.75" x14ac:dyDescent="0.35">
      <c r="A396" t="s">
        <v>405</v>
      </c>
      <c r="D396" s="17">
        <f>E148</f>
        <v>104.11439999999999</v>
      </c>
      <c r="E396" t="s">
        <v>11</v>
      </c>
    </row>
    <row r="397" spans="1:12" x14ac:dyDescent="0.25">
      <c r="A397" t="s">
        <v>124</v>
      </c>
      <c r="D397" s="17"/>
    </row>
    <row r="398" spans="1:12" ht="18.75" x14ac:dyDescent="0.35">
      <c r="A398" t="s">
        <v>406</v>
      </c>
      <c r="B398" s="3"/>
      <c r="D398" s="70">
        <f>F161</f>
        <v>98.129960581557597</v>
      </c>
      <c r="E398" s="3" t="s">
        <v>11</v>
      </c>
      <c r="H398" s="90">
        <v>0.9</v>
      </c>
      <c r="I398" s="90">
        <v>0.68</v>
      </c>
      <c r="J398" s="91"/>
      <c r="K398" s="91"/>
      <c r="L398" s="91"/>
    </row>
    <row r="399" spans="1:12" ht="18.75" x14ac:dyDescent="0.3">
      <c r="B399" s="3"/>
      <c r="C399" s="3" t="s">
        <v>25</v>
      </c>
      <c r="D399" s="70">
        <f>D398/D407</f>
        <v>0.94252054068944935</v>
      </c>
      <c r="E399" s="3"/>
      <c r="F399" s="3"/>
      <c r="G399" s="70"/>
      <c r="H399" s="90">
        <v>1</v>
      </c>
      <c r="I399" s="90">
        <v>0.67</v>
      </c>
      <c r="J399" s="91"/>
      <c r="K399" s="91">
        <f>H398-H399</f>
        <v>-9.9999999999999978E-2</v>
      </c>
      <c r="L399" s="91">
        <f>I398-I399</f>
        <v>1.0000000000000009E-2</v>
      </c>
    </row>
    <row r="400" spans="1:12" ht="18.75" x14ac:dyDescent="0.3">
      <c r="B400" s="5" t="s">
        <v>122</v>
      </c>
      <c r="C400" s="70" t="s">
        <v>116</v>
      </c>
      <c r="D400" s="65">
        <f>I400</f>
        <v>0.67574794593105514</v>
      </c>
      <c r="E400" s="3"/>
      <c r="F400" s="3"/>
      <c r="G400" s="70"/>
      <c r="H400" s="92">
        <f>D399</f>
        <v>0.94252054068944935</v>
      </c>
      <c r="I400" s="93">
        <f>I398-L400</f>
        <v>0.67574794593105514</v>
      </c>
      <c r="J400" s="91"/>
      <c r="K400" s="91">
        <f>H398-H400</f>
        <v>-4.2520540689449327E-2</v>
      </c>
      <c r="L400" s="91">
        <f>K400/K399*L399</f>
        <v>4.2520540689449373E-3</v>
      </c>
    </row>
    <row r="401" spans="1:12" ht="19.5" x14ac:dyDescent="0.35">
      <c r="A401" t="s">
        <v>407</v>
      </c>
      <c r="B401" s="3"/>
      <c r="C401" s="3"/>
      <c r="D401" s="18"/>
      <c r="F401" s="94">
        <f>F314*D307*E315*D400*1*D396</f>
        <v>13.80366903898984</v>
      </c>
      <c r="G401" s="27" t="s">
        <v>123</v>
      </c>
    </row>
    <row r="402" spans="1:12" ht="19.5" x14ac:dyDescent="0.35">
      <c r="A402" t="s">
        <v>408</v>
      </c>
      <c r="E402" s="70">
        <f>F401*E159</f>
        <v>205.57292645713753</v>
      </c>
      <c r="F402" s="27" t="s">
        <v>13</v>
      </c>
      <c r="H402" s="90">
        <v>0.9</v>
      </c>
      <c r="I402" s="90">
        <v>0.68</v>
      </c>
      <c r="J402" s="91"/>
      <c r="K402" s="91"/>
      <c r="L402" s="91"/>
    </row>
    <row r="403" spans="1:12" x14ac:dyDescent="0.25">
      <c r="A403" t="s">
        <v>125</v>
      </c>
      <c r="E403" s="70"/>
      <c r="F403" s="27"/>
      <c r="H403" s="90">
        <v>1</v>
      </c>
      <c r="I403" s="90">
        <v>0.67</v>
      </c>
      <c r="J403" s="91"/>
      <c r="K403" s="91">
        <f>H402-H403</f>
        <v>-9.9999999999999978E-2</v>
      </c>
      <c r="L403" s="91">
        <f>I402-I403</f>
        <v>1.0000000000000009E-2</v>
      </c>
    </row>
    <row r="404" spans="1:12" ht="18.75" x14ac:dyDescent="0.35">
      <c r="A404" t="s">
        <v>409</v>
      </c>
      <c r="B404" s="3"/>
      <c r="C404" s="3"/>
      <c r="D404" s="70">
        <f>E149</f>
        <v>98.937740872336406</v>
      </c>
      <c r="E404" s="3" t="s">
        <v>11</v>
      </c>
      <c r="H404" s="92">
        <f>D405</f>
        <v>0.95027912442790252</v>
      </c>
      <c r="I404" s="93">
        <f>I402-L404</f>
        <v>0.67497208755720983</v>
      </c>
      <c r="J404" s="91"/>
      <c r="K404" s="91">
        <f>H402-H404</f>
        <v>-5.02791244279025E-2</v>
      </c>
      <c r="L404" s="91">
        <f>K404/K403*L403</f>
        <v>5.0279124427902557E-3</v>
      </c>
    </row>
    <row r="405" spans="1:12" ht="18.75" x14ac:dyDescent="0.3">
      <c r="B405" s="3"/>
      <c r="C405" s="3" t="s">
        <v>26</v>
      </c>
      <c r="D405" s="70">
        <f>D404/D407</f>
        <v>0.95027912442790252</v>
      </c>
      <c r="E405" s="3"/>
      <c r="F405" s="3"/>
      <c r="G405" s="70"/>
    </row>
    <row r="406" spans="1:12" ht="18.75" x14ac:dyDescent="0.3">
      <c r="B406" s="5" t="s">
        <v>122</v>
      </c>
      <c r="C406" s="70" t="s">
        <v>117</v>
      </c>
      <c r="D406" s="65">
        <f>I404</f>
        <v>0.67497208755720983</v>
      </c>
      <c r="E406" s="3"/>
      <c r="F406" s="3"/>
      <c r="G406" s="70"/>
      <c r="H406" s="90">
        <v>0.9</v>
      </c>
      <c r="I406" s="90">
        <v>0.68</v>
      </c>
      <c r="J406" s="91"/>
      <c r="K406" s="91"/>
      <c r="L406" s="91"/>
    </row>
    <row r="407" spans="1:12" ht="18.75" x14ac:dyDescent="0.35">
      <c r="A407" t="s">
        <v>410</v>
      </c>
      <c r="B407" s="3"/>
      <c r="C407" s="3"/>
      <c r="D407" s="70">
        <f>E148</f>
        <v>104.11439999999999</v>
      </c>
      <c r="E407" s="3" t="s">
        <v>11</v>
      </c>
      <c r="H407" s="90">
        <v>1</v>
      </c>
      <c r="I407" s="90">
        <v>0.67</v>
      </c>
      <c r="J407" s="91"/>
      <c r="K407" s="91">
        <f>H406-H407</f>
        <v>-9.9999999999999978E-2</v>
      </c>
      <c r="L407" s="91">
        <f>I406-I407</f>
        <v>1.0000000000000009E-2</v>
      </c>
    </row>
    <row r="408" spans="1:12" ht="18.75" x14ac:dyDescent="0.3">
      <c r="B408" s="3"/>
      <c r="C408" s="3" t="s">
        <v>27</v>
      </c>
      <c r="D408" s="70">
        <f>D407/D407</f>
        <v>1</v>
      </c>
      <c r="E408" s="3"/>
      <c r="F408" s="3"/>
      <c r="G408" s="70"/>
      <c r="H408" s="92">
        <f>D408</f>
        <v>1</v>
      </c>
      <c r="I408" s="93">
        <f>I406-L408</f>
        <v>0.67</v>
      </c>
      <c r="J408" s="91"/>
      <c r="K408" s="91">
        <f>H406-H408</f>
        <v>-9.9999999999999978E-2</v>
      </c>
      <c r="L408" s="91">
        <f>K408/K407*L407</f>
        <v>1.0000000000000009E-2</v>
      </c>
    </row>
    <row r="409" spans="1:12" ht="18.75" x14ac:dyDescent="0.3">
      <c r="B409" s="5" t="s">
        <v>122</v>
      </c>
      <c r="C409" s="70" t="s">
        <v>118</v>
      </c>
      <c r="D409" s="65">
        <f>I408</f>
        <v>0.67</v>
      </c>
      <c r="E409" s="3"/>
      <c r="F409" s="3"/>
      <c r="G409" s="70"/>
    </row>
    <row r="410" spans="1:12" ht="18.75" x14ac:dyDescent="0.35">
      <c r="A410" t="s">
        <v>411</v>
      </c>
      <c r="E410" s="70">
        <f>(D406+D409)/2</f>
        <v>0.67248604377860488</v>
      </c>
    </row>
    <row r="411" spans="1:12" ht="19.5" x14ac:dyDescent="0.35">
      <c r="A411" t="s">
        <v>412</v>
      </c>
      <c r="F411" s="94">
        <f>F314*D307*E315*E410*1*D396</f>
        <v>13.737037363642379</v>
      </c>
      <c r="G411" s="27" t="s">
        <v>123</v>
      </c>
    </row>
    <row r="412" spans="1:12" ht="19.5" x14ac:dyDescent="0.35">
      <c r="A412" t="s">
        <v>413</v>
      </c>
      <c r="B412" s="3"/>
      <c r="C412" s="3"/>
      <c r="D412" s="18"/>
      <c r="F412" s="70">
        <f>F411*D83*D88</f>
        <v>618.67405074332873</v>
      </c>
      <c r="G412" s="27" t="s">
        <v>13</v>
      </c>
    </row>
    <row r="413" spans="1:12" x14ac:dyDescent="0.25">
      <c r="A413" s="27" t="s">
        <v>126</v>
      </c>
    </row>
    <row r="414" spans="1:12" ht="18.75" x14ac:dyDescent="0.3">
      <c r="B414" s="27" t="s">
        <v>414</v>
      </c>
      <c r="E414" s="70">
        <f>E402+F412</f>
        <v>824.24697720046629</v>
      </c>
      <c r="F414" s="27" t="s">
        <v>13</v>
      </c>
    </row>
    <row r="415" spans="1:12" x14ac:dyDescent="0.25">
      <c r="B415" s="27"/>
      <c r="E415" s="70"/>
      <c r="F415" s="27"/>
    </row>
    <row r="416" spans="1:12" x14ac:dyDescent="0.25">
      <c r="A416" s="3" t="s">
        <v>415</v>
      </c>
      <c r="B416" s="3"/>
      <c r="C416" s="70"/>
      <c r="E416" s="70"/>
      <c r="F416" s="4"/>
    </row>
    <row r="417" spans="1:7" ht="18.75" x14ac:dyDescent="0.35">
      <c r="A417" s="3" t="s">
        <v>416</v>
      </c>
      <c r="D417" s="70">
        <f>E418/90</f>
        <v>1</v>
      </c>
    </row>
    <row r="418" spans="1:7" x14ac:dyDescent="0.25">
      <c r="A418" s="9" t="s">
        <v>182</v>
      </c>
      <c r="C418" s="3"/>
      <c r="E418" s="17">
        <f>E349</f>
        <v>90</v>
      </c>
      <c r="F418" s="17" t="s">
        <v>23</v>
      </c>
    </row>
    <row r="419" spans="1:7" x14ac:dyDescent="0.25">
      <c r="A419" s="3"/>
      <c r="D419" s="70"/>
      <c r="E419" s="62"/>
    </row>
    <row r="420" spans="1:7" x14ac:dyDescent="0.25">
      <c r="A420" s="3" t="s">
        <v>417</v>
      </c>
      <c r="D420" s="70"/>
      <c r="E420" s="62"/>
    </row>
    <row r="421" spans="1:7" ht="18.75" x14ac:dyDescent="0.3">
      <c r="A421" s="23" t="s">
        <v>287</v>
      </c>
      <c r="B421" s="3"/>
      <c r="C421" s="3"/>
      <c r="F421" s="70">
        <f>F36/G244</f>
        <v>0.55000000000000004</v>
      </c>
    </row>
    <row r="422" spans="1:7" ht="18.75" x14ac:dyDescent="0.3">
      <c r="A422" s="23" t="s">
        <v>288</v>
      </c>
      <c r="B422" s="3"/>
      <c r="C422" s="3"/>
      <c r="F422" s="70">
        <f>F37/G245</f>
        <v>0.5</v>
      </c>
      <c r="G422" s="62" t="s">
        <v>0</v>
      </c>
    </row>
    <row r="423" spans="1:7" ht="18.75" x14ac:dyDescent="0.35">
      <c r="A423" s="3" t="s">
        <v>418</v>
      </c>
      <c r="D423" s="3"/>
      <c r="E423" s="3"/>
      <c r="F423" s="20">
        <f>C368*(E168*D239+E392*D240+E414*D417*D240)+C369*C387*D238</f>
        <v>58165.65711973908</v>
      </c>
      <c r="G423" s="62" t="s">
        <v>5</v>
      </c>
    </row>
    <row r="424" spans="1:7" ht="18.75" x14ac:dyDescent="0.35">
      <c r="A424" s="3" t="s">
        <v>419</v>
      </c>
      <c r="B424" s="3"/>
      <c r="C424" s="3"/>
      <c r="D424" s="3"/>
      <c r="E424" s="3"/>
      <c r="F424" s="17">
        <f>C368*C387*D238-C369*(E168*D239+E392*D240+E414*D417*D240)</f>
        <v>31690.362044850139</v>
      </c>
      <c r="G424" s="62" t="s">
        <v>5</v>
      </c>
    </row>
    <row r="425" spans="1:7" ht="18.75" x14ac:dyDescent="0.35">
      <c r="A425" s="23" t="s">
        <v>60</v>
      </c>
      <c r="B425" s="3"/>
      <c r="C425" s="3"/>
      <c r="D425" s="3"/>
      <c r="E425" s="3"/>
      <c r="F425" s="70">
        <f>F421*F424+F422*1000*D363</f>
        <v>264304.20898007014</v>
      </c>
      <c r="G425" s="62" t="s">
        <v>5</v>
      </c>
    </row>
    <row r="426" spans="1:7" ht="18.75" x14ac:dyDescent="0.35">
      <c r="B426" t="s">
        <v>392</v>
      </c>
      <c r="C426" s="42">
        <f>C224*E225*F423</f>
        <v>54384.889406956041</v>
      </c>
      <c r="D426" s="4" t="str">
        <f>IF(C426&lt;F426,"&lt;","&gt;")</f>
        <v>&lt;</v>
      </c>
      <c r="E426" t="s">
        <v>420</v>
      </c>
      <c r="F426" s="80">
        <f>F425/D241</f>
        <v>97890.447770396335</v>
      </c>
    </row>
    <row r="427" spans="1:7" x14ac:dyDescent="0.25">
      <c r="A427" s="5" t="s">
        <v>107</v>
      </c>
      <c r="B427" s="3" t="str">
        <f>IF(C426&lt;F426,"该工况下堵头设计长度能满足规范要求。","该工况下堵头设计长度不能满足规范要求。")</f>
        <v>该工况下堵头设计长度能满足规范要求。</v>
      </c>
    </row>
    <row r="428" spans="1:7" x14ac:dyDescent="0.25">
      <c r="A428" s="3"/>
    </row>
    <row r="429" spans="1:7" x14ac:dyDescent="0.25">
      <c r="A429" s="9"/>
      <c r="B429" s="3"/>
      <c r="C429" s="3"/>
      <c r="D429" s="3"/>
      <c r="E429" s="73"/>
      <c r="F429" s="79"/>
    </row>
  </sheetData>
  <mergeCells count="45">
    <mergeCell ref="B297:C297"/>
    <mergeCell ref="D297:G297"/>
    <mergeCell ref="A70:C70"/>
    <mergeCell ref="A79:C79"/>
    <mergeCell ref="B294:C294"/>
    <mergeCell ref="D294:G294"/>
    <mergeCell ref="B295:C295"/>
    <mergeCell ref="D295:G295"/>
    <mergeCell ref="B296:C296"/>
    <mergeCell ref="D296:G296"/>
    <mergeCell ref="B287:C287"/>
    <mergeCell ref="D287:E287"/>
    <mergeCell ref="F287:F288"/>
    <mergeCell ref="B288:C288"/>
    <mergeCell ref="D288:E288"/>
    <mergeCell ref="B289:C289"/>
    <mergeCell ref="D289:E289"/>
    <mergeCell ref="F289:F290"/>
    <mergeCell ref="B290:C290"/>
    <mergeCell ref="D290:E290"/>
    <mergeCell ref="G46:G48"/>
    <mergeCell ref="B47:C47"/>
    <mergeCell ref="D47:D48"/>
    <mergeCell ref="E47:E48"/>
    <mergeCell ref="F47:F48"/>
    <mergeCell ref="D57:D59"/>
    <mergeCell ref="B286:C286"/>
    <mergeCell ref="D286:E286"/>
    <mergeCell ref="A212:C212"/>
    <mergeCell ref="A213:C213"/>
    <mergeCell ref="G54:G56"/>
    <mergeCell ref="E55:E56"/>
    <mergeCell ref="H146:H170"/>
    <mergeCell ref="F55:F56"/>
    <mergeCell ref="A46:A48"/>
    <mergeCell ref="B46:C46"/>
    <mergeCell ref="A83:C83"/>
    <mergeCell ref="A84:C84"/>
    <mergeCell ref="D49:D51"/>
    <mergeCell ref="A71:C71"/>
    <mergeCell ref="A72:C72"/>
    <mergeCell ref="A54:A56"/>
    <mergeCell ref="B54:C54"/>
    <mergeCell ref="B55:C55"/>
    <mergeCell ref="D55:D56"/>
  </mergeCells>
  <phoneticPr fontId="24" type="noConversion"/>
  <pageMargins left="0.55118110236220474" right="0.31496062992125984" top="0.98425196850393704" bottom="0.98425196850393704" header="0.51181102362204722" footer="0.51181102362204722"/>
  <pageSetup paperSize="9" orientation="portrait" r:id="rId1"/>
  <headerFooter alignWithMargins="0">
    <oddFooter>&amp;C&amp;"宋体,常规"第&amp;"Times New Roman,常规" &amp;P &amp;"宋体,常规"页</oddFooter>
  </headerFooter>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5</vt:i4>
      </vt:variant>
    </vt:vector>
  </HeadingPairs>
  <TitlesOfParts>
    <vt:vector size="5" baseType="lpstr">
      <vt:lpstr>使用说明</vt:lpstr>
      <vt:lpstr>目录（1个接触面）</vt:lpstr>
      <vt:lpstr>目录（2个接触面）</vt:lpstr>
      <vt:lpstr>堵头计算（地震基本烈度≥6，1个接触面） </vt:lpstr>
      <vt:lpstr>堵头计算（地震基本烈度≥6，2个接触面)</vt:lpstr>
    </vt:vector>
  </TitlesOfParts>
  <Company>中南院</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李建军</dc:creator>
  <cp:lastModifiedBy>陈俊</cp:lastModifiedBy>
  <cp:revision/>
  <cp:lastPrinted>2018-04-03T00:36:10Z</cp:lastPrinted>
  <dcterms:created xsi:type="dcterms:W3CDTF">2002-07-30T04:00:33Z</dcterms:created>
  <dcterms:modified xsi:type="dcterms:W3CDTF">2026-09-28T18:18:06Z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2052-9.1.0.4866</vt:lpwstr>
  </property>
</Properties>
</file>